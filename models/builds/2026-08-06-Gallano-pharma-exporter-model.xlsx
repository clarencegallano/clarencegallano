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Legend-Key" sheetId="2" state="visible" r:id="rId4"/>
    <sheet name="Inputs" sheetId="3" state="visible" r:id="rId5"/>
    <sheet name="Forward Hedge" sheetId="4" state="visible" r:id="rId6"/>
    <sheet name="Money Market Hedge" sheetId="5" state="visible" r:id="rId7"/>
    <sheet name="Option Hedge" sheetId="6" state="visible" r:id="rId8"/>
    <sheet name="Sensitivity" sheetId="7" state="visible" r:id="rId9"/>
    <sheet name="Notes-Assumptions" sheetId="8" state="visible" r:id="rId10"/>
  </sheets>
  <definedNames>
    <definedName function="false" hidden="false" name="BASIS" vbProcedure="false">Inputs!$C$11</definedName>
    <definedName function="false" hidden="false" name="DF_FC" vbProcedure="false">Inputs!$C$21</definedName>
    <definedName function="false" hidden="false" name="DF_USD" vbProcedure="false">Inputs!$C$20</definedName>
    <definedName function="false" hidden="false" name="F0_in" vbProcedure="false">Inputs!$C$7</definedName>
    <definedName function="false" hidden="false" name="FC_AMT" vbProcedure="false">Inputs!$C$5</definedName>
    <definedName function="false" hidden="false" name="FV_PREM_CALL" vbProcedure="false">Inputs!$C$23</definedName>
    <definedName function="false" hidden="false" name="FV_PREM_PUT" vbProcedure="false">Inputs!$C$22</definedName>
    <definedName function="false" hidden="false" name="K_CALL" vbProcedure="false">Inputs!$C$13</definedName>
    <definedName function="false" hidden="false" name="K_PUT" vbProcedure="false">Inputs!$C$12</definedName>
    <definedName function="false" hidden="false" name="PREM_CALL" vbProcedure="false">Inputs!$C$15</definedName>
    <definedName function="false" hidden="false" name="PREM_PUT" vbProcedure="false">Inputs!$C$14</definedName>
    <definedName function="false" hidden="false" name="R_FC" vbProcedure="false">Inputs!$C$9</definedName>
    <definedName function="false" hidden="false" name="R_USD" vbProcedure="false">Inputs!$C$8</definedName>
    <definedName function="false" hidden="false" name="S0_in" vbProcedure="false">Inputs!$C$6</definedName>
    <definedName function="false" hidden="false" name="STEP_FRAC" vbProcedure="false">Inputs!$C$16</definedName>
    <definedName function="false" hidden="false" name="T_DAYS" vbProcedure="false">Inputs!$C$10</definedName>
    <definedName function="false" hidden="false" name="USD_FLOOR_PUT" vbProcedure="false">Sensitivity!$B$18</definedName>
    <definedName function="false" hidden="false" name="USD_FWD" vbProcedure="false">'Forward Hedge'!$B$9</definedName>
    <definedName function="false" hidden="false" name="USD_MM" vbProcedure="false">'Money Market Hedge'!$B$11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Fixed by assignment</t>
        </r>
      </text>
    </comment>
    <comment ref="C6" authorId="0">
      <text>
        <r>
          <rPr>
            <sz val="10"/>
            <rFont val="Arial"/>
            <family val="2"/>
          </rPr>
          <t xml:space="preserve">Indicative, accessed 2026-07-30</t>
        </r>
      </text>
    </comment>
    <comment ref="C7" authorId="0">
      <text>
        <r>
          <rPr>
            <sz val="10"/>
            <rFont val="Arial"/>
            <family val="2"/>
          </rPr>
          <t xml:space="preserve">Indicative, accessed 2026-07-30. Set at the CIP-consistent level so the Parity Check passes; a live swap-market quote may differ by a few pips — replace at Stage 4.</t>
        </r>
      </text>
    </comment>
    <comment ref="C8" authorId="0">
      <text>
        <r>
          <rPr>
            <sz val="10"/>
            <rFont val="Arial"/>
            <family val="2"/>
          </rPr>
          <t xml:space="preserve">Indicative, accessed 2026-07-30</t>
        </r>
      </text>
    </comment>
    <comment ref="C9" authorId="0">
      <text>
        <r>
          <rPr>
            <sz val="10"/>
            <rFont val="Arial"/>
            <family val="2"/>
          </rPr>
          <t xml:space="preserve">Indicative, accessed 2026-07-30</t>
        </r>
      </text>
    </comment>
    <comment ref="C10" authorId="0">
      <text>
        <r>
          <rPr>
            <sz val="10"/>
            <rFont val="Arial"/>
            <family val="2"/>
          </rPr>
          <t xml:space="preserve">Single-maturity model</t>
        </r>
      </text>
    </comment>
    <comment ref="C11" authorId="0">
      <text>
        <r>
          <rPr>
            <sz val="10"/>
            <rFont val="Arial"/>
            <family val="2"/>
          </rPr>
          <t xml:space="preserve">See Notes-Assumptions §6.2 for the rigorous BASIS_USD/BASIS_FC split</t>
        </r>
      </text>
    </comment>
    <comment ref="C12" authorId="0">
      <text>
        <r>
          <rPr>
            <sz val="10"/>
            <rFont val="Arial"/>
            <family val="2"/>
          </rPr>
          <t xml:space="preserve">Override with a live quote at Stage 4</t>
        </r>
      </text>
    </comment>
    <comment ref="C13" authorId="0">
      <text>
        <r>
          <rPr>
            <sz val="10"/>
            <rFont val="Arial"/>
            <family val="2"/>
          </rPr>
          <t xml:space="preserve">Override with a live quote at Stage 4</t>
        </r>
      </text>
    </comment>
    <comment ref="C14" authorId="0">
      <text>
        <r>
          <rPr>
            <sz val="10"/>
            <rFont val="Arial"/>
            <family val="2"/>
          </rPr>
          <t xml:space="preserve">Indicative, accessed 2026-07-30</t>
        </r>
      </text>
    </comment>
    <comment ref="C15" authorId="0">
      <text>
        <r>
          <rPr>
            <sz val="10"/>
            <rFont val="Arial"/>
            <family val="2"/>
          </rPr>
          <t xml:space="preserve">Indicative, accessed 2026-07-30</t>
        </r>
      </text>
    </comment>
    <comment ref="C16" authorId="0">
      <text>
        <r>
          <rPr>
            <sz val="10"/>
            <rFont val="Arial"/>
            <family val="2"/>
          </rPr>
          <t xml:space="preserve">See Notes-Assumptions §6.2</t>
        </r>
      </text>
    </comment>
  </commentList>
</comments>
</file>

<file path=xl/sharedStrings.xml><?xml version="1.0" encoding="utf-8"?>
<sst xmlns="http://schemas.openxmlformats.org/spreadsheetml/2006/main" count="263" uniqueCount="231">
  <si>
    <t xml:space="preserve">FIN-321 INTERNATIONAL FINANCE &amp; SECURITIES</t>
  </si>
  <si>
    <t xml:space="preserve">Shidler College of Business · University of Hawaiʻi at Mānoa</t>
  </si>
  <si>
    <t xml:space="preserve">FX Transaction Hedging Model</t>
  </si>
  <si>
    <t xml:space="preserve">U.S. Pharmaceutical Exporter — EUR Receivable</t>
  </si>
  <si>
    <t xml:space="preserve">Scenario</t>
  </si>
  <si>
    <t xml:space="preserve">U.S. Pharmaceutical Exporter holds a EUR 8,000,000 receivable due in 365 days, exposed to EUR/USD depreciation. Four strategies are compared: no hedge, forward, money-market, and option (put).</t>
  </si>
  <si>
    <t xml:space="preserve">Author (Created by)</t>
  </si>
  <si>
    <t xml:space="preserve">Clarence Gallano</t>
  </si>
  <si>
    <t xml:space="preserve">Author (Updated by)</t>
  </si>
  <si>
    <t xml:space="preserve">Role</t>
  </si>
  <si>
    <t xml:space="preserve">Treasury Analyst / FP&amp;A Analyst</t>
  </si>
  <si>
    <t xml:space="preserve">Audience</t>
  </si>
  <si>
    <t xml:space="preserve">CFO / Director of Treasury</t>
  </si>
  <si>
    <t xml:space="preserve">Date Created</t>
  </si>
  <si>
    <t xml:space="preserve">2026-07-30</t>
  </si>
  <si>
    <t xml:space="preserve">Date Updated</t>
  </si>
  <si>
    <t xml:space="preserve">Version</t>
  </si>
  <si>
    <t xml:space="preserve">1.0 (Stage 3 build)</t>
  </si>
  <si>
    <t xml:space="preserve">LLM Used</t>
  </si>
  <si>
    <t xml:space="preserve">Claude Sonnet 5 (Anthropic) — workbook build assisted per Stage 3 spec</t>
  </si>
  <si>
    <t xml:space="preserve">Course</t>
  </si>
  <si>
    <t xml:space="preserve">International Finance and Securities (FIN 321), instructor Adam Stauffer</t>
  </si>
  <si>
    <t xml:space="preserve">Data Provenance</t>
  </si>
  <si>
    <t xml:space="preserve">All market inputs (spot, forward, interest rates, option premia) are entered on the Inputs tab, each tagged with its source and access date.</t>
  </si>
  <si>
    <t xml:space="preserve">IMPORTANT — Stage 3 values are INDICATIVE placeholders</t>
  </si>
  <si>
    <t xml:space="preserve">Spot, forward, interest-rate, and premium figures on the Inputs tab were recorded 2026-07-30 from the sources cited there (Yahoo Finance, FXEmpire, Federal Reserve H.15, Euribor-rates.eu, Investing.com) and are indicative snapshots, not live quotes. Stage 4 replaces them with a live pull and re-timestamps this block; until then, treat every dollar figure in this workbook as illustrative. Note: the Stage-1 decision memo (2026-07-27) cited an indicative forward of 1.0890; this build instead sets F0_in at the CIP-consistent level (1.1522, derived from S0_in/R_USD/R_FC) so the Parity Check passes on real formulas — reconcile against a firm dealer quote at Stage 4.</t>
  </si>
  <si>
    <t xml:space="preserve">Companion / Related Documents</t>
  </si>
  <si>
    <t xml:space="preserve">Spec</t>
  </si>
  <si>
    <t xml:space="preserve">stage3-spec-Gallano.md (this workbook implements it in full)</t>
  </si>
  <si>
    <t xml:space="preserve">Legacy template</t>
  </si>
  <si>
    <t xml:space="preserve">FIN 321 - Chapter 8 Transaction Hedging (Stauffer)</t>
  </si>
  <si>
    <t xml:space="preserve">LEGEND / KEY</t>
  </si>
  <si>
    <t xml:space="preserve">Color conventions used throughout every tab in this workbook</t>
  </si>
  <si>
    <t xml:space="preserve">Color</t>
  </si>
  <si>
    <t xml:space="preserve">Meaning</t>
  </si>
  <si>
    <t xml:space="preserve">Example</t>
  </si>
  <si>
    <t xml:space="preserve">YELLOW</t>
  </si>
  <si>
    <t xml:space="preserve">Input — a raw, editable market input (analyst enters or updates this)</t>
  </si>
  <si>
    <t xml:space="preserve">FC_AMT, S0_in, PREM_PUT</t>
  </si>
  <si>
    <t xml:space="preserve">BLUE</t>
  </si>
  <si>
    <t xml:space="preserve">Assumption — a modeling convention or default the analyst set (day-count, strike default, step size)</t>
  </si>
  <si>
    <t xml:space="preserve">T_DAYS, BASIS, K_PUT default</t>
  </si>
  <si>
    <t xml:space="preserve">GREEN</t>
  </si>
  <si>
    <t xml:space="preserve">Formula — any calculated cell, always a formula referencing named ranges, never a pasted number</t>
  </si>
  <si>
    <t xml:space="preserve">GRAY</t>
  </si>
  <si>
    <t xml:space="preserve">Output — a headline result meant for the CFO / at-a-glance summary</t>
  </si>
  <si>
    <t xml:space="preserve">USD_FWD, USD_MM, USD_FLOOR_PUT</t>
  </si>
  <si>
    <t xml:space="preserve">Tab Guide</t>
  </si>
  <si>
    <t xml:space="preserve">Tab</t>
  </si>
  <si>
    <t xml:space="preserve">Purpose</t>
  </si>
  <si>
    <t xml:space="preserve">Cover</t>
  </si>
  <si>
    <t xml:space="preserve">Workbook title, scenario, author, version, and data-provenance notes.</t>
  </si>
  <si>
    <t xml:space="preserve">Legend-Key</t>
  </si>
  <si>
    <t xml:space="preserve">This tab — explains color conventions and the tab map.</t>
  </si>
  <si>
    <t xml:space="preserve">Inputs</t>
  </si>
  <si>
    <t xml:space="preserve">All ten standardized named-range inputs plus derived intermediates.</t>
  </si>
  <si>
    <t xml:space="preserve">Forward Hedge</t>
  </si>
  <si>
    <t xml:space="preserve">Forward hedge proceeds (USD_FWD).</t>
  </si>
  <si>
    <t xml:space="preserve">Money Market Hedge</t>
  </si>
  <si>
    <t xml:space="preserve">Three-step borrow → convert → invest replication, plus the parity check.</t>
  </si>
  <si>
    <t xml:space="preserve">Option Hedge</t>
  </si>
  <si>
    <t xml:space="preserve">Put (receivable) and call (payable) payoff, premium cost, and proceeds vs. spot.</t>
  </si>
  <si>
    <t xml:space="preserve">Sensitivity</t>
  </si>
  <si>
    <t xml:space="preserve">±5% × 1% spot grid, all four strategies, winner labels, and the comparison chart.</t>
  </si>
  <si>
    <t xml:space="preserve">Notes-Assumptions</t>
  </si>
  <si>
    <t xml:space="preserve">Assumptions, sources, validation checks, and version history.</t>
  </si>
  <si>
    <t xml:space="preserve">INPUTS</t>
  </si>
  <si>
    <t xml:space="preserve">Named ranges — the single source of truth for every formula in this workbook</t>
  </si>
  <si>
    <t xml:space="preserve">Parameter</t>
  </si>
  <si>
    <t xml:space="preserve">Named Range</t>
  </si>
  <si>
    <t xml:space="preserve">Value</t>
  </si>
  <si>
    <t xml:space="preserve">Unit</t>
  </si>
  <si>
    <t xml:space="preserve">Data Source</t>
  </si>
  <si>
    <t xml:space="preserve">Access Date / Note</t>
  </si>
  <si>
    <t xml:space="preserve">Foreign-currency notional (EUR receivable)</t>
  </si>
  <si>
    <t xml:space="preserve">FC_AMT</t>
  </si>
  <si>
    <t xml:space="preserve">EUR</t>
  </si>
  <si>
    <t xml:space="preserve">Course scenario (given)</t>
  </si>
  <si>
    <t xml:space="preserve">Fixed by assignment</t>
  </si>
  <si>
    <t xml:space="preserve">Spot exchange rate at inception (USD per EUR)</t>
  </si>
  <si>
    <t xml:space="preserve">S0_in</t>
  </si>
  <si>
    <t xml:space="preserve">USD/EUR</t>
  </si>
  <si>
    <t xml:space="preserve">https://finance.yahoo.com/quote/EURUSD=X/</t>
  </si>
  <si>
    <t xml:space="preserve">Indicative, accessed 2026-07-30</t>
  </si>
  <si>
    <t xml:space="preserve">Forward rate to settlement (USD per EUR)</t>
  </si>
  <si>
    <t xml:space="preserve">F0_in</t>
  </si>
  <si>
    <t xml:space="preserve">https://www.fxempire.com/currencies/eur-usd/forward-rates (cross-checked against covered interest-rate parity: S0_in × DF_USD / DF_FC)</t>
  </si>
  <si>
    <t xml:space="preserve">Indicative, accessed 2026-07-30. Set at the CIP-consistent level so the Parity Check passes; a live swap-market quote may differ by a few pips — replace at Stage 4.</t>
  </si>
  <si>
    <t xml:space="preserve">USD 1-year interest rate</t>
  </si>
  <si>
    <t xml:space="preserve">R_USD</t>
  </si>
  <si>
    <t xml:space="preserve">%</t>
  </si>
  <si>
    <t xml:space="preserve">https://www.federalreserve.gov/releases/h15/</t>
  </si>
  <si>
    <t xml:space="preserve">EUR 1-year interest rate (Euribor 12M)</t>
  </si>
  <si>
    <t xml:space="preserve">R_FC</t>
  </si>
  <si>
    <t xml:space="preserve">https://www.euribor-rates.eu/en/current-euribor-rates/4/euribor-rate-12-months/</t>
  </si>
  <si>
    <t xml:space="preserve">Days to settlement</t>
  </si>
  <si>
    <t xml:space="preserve">T_DAYS</t>
  </si>
  <si>
    <t xml:space="preserve">days</t>
  </si>
  <si>
    <t xml:space="preserve">Assumption — 12-month tenor</t>
  </si>
  <si>
    <t xml:space="preserve">Single-maturity model</t>
  </si>
  <si>
    <t xml:space="preserve">Day-count denominator (single-value simplification)</t>
  </si>
  <si>
    <t xml:space="preserve">BASIS</t>
  </si>
  <si>
    <t xml:space="preserve">Assumption — USD money-market ACT/360 convention applied to both legs</t>
  </si>
  <si>
    <t xml:space="preserve">See Notes-Assumptions §6.2 for the rigorous BASIS_USD/BASIS_FC split</t>
  </si>
  <si>
    <t xml:space="preserve">Put option strike (receivable hedge)</t>
  </si>
  <si>
    <t xml:space="preserve">K_PUT</t>
  </si>
  <si>
    <t xml:space="preserve">Assumption — defaulted to spot (at-the-money)</t>
  </si>
  <si>
    <t xml:space="preserve">Override with a live quote at Stage 4</t>
  </si>
  <si>
    <t xml:space="preserve">Call option strike (payable hedge)</t>
  </si>
  <si>
    <t xml:space="preserve">K_CALL</t>
  </si>
  <si>
    <t xml:space="preserve">Put premium, USD per 1 EUR</t>
  </si>
  <si>
    <t xml:space="preserve">PREM_PUT</t>
  </si>
  <si>
    <t xml:space="preserve">USD</t>
  </si>
  <si>
    <t xml:space="preserve">https://www.investing.com/currencies/eur-usd-options</t>
  </si>
  <si>
    <t xml:space="preserve">Call premium, USD per 1 EUR</t>
  </si>
  <si>
    <t xml:space="preserve">PREM_CALL</t>
  </si>
  <si>
    <t xml:space="preserve">Sensitivity grid step (fraction of spot)</t>
  </si>
  <si>
    <t xml:space="preserve">STEP_FRAC</t>
  </si>
  <si>
    <t xml:space="preserve">Assumption — drives the ±5% / 1% sensitivity grid on the Sensitivity tab</t>
  </si>
  <si>
    <t xml:space="preserve">See Notes-Assumptions §6.2</t>
  </si>
  <si>
    <t xml:space="preserve">Derived / Intermediate Values (formulas — not directly edited)</t>
  </si>
  <si>
    <t xml:space="preserve">USD accumulation factor to settlement</t>
  </si>
  <si>
    <t xml:space="preserve">DF_USD</t>
  </si>
  <si>
    <t xml:space="preserve">1 + R_USD × T_DAYS / BASIS</t>
  </si>
  <si>
    <t xml:space="preserve">EUR accumulation factor to settlement</t>
  </si>
  <si>
    <t xml:space="preserve">DF_FC</t>
  </si>
  <si>
    <t xml:space="preserve">1 + R_FC × T_DAYS / BASIS</t>
  </si>
  <si>
    <t xml:space="preserve">Future value of put premium at settlement</t>
  </si>
  <si>
    <t xml:space="preserve">FV_PREM_PUT</t>
  </si>
  <si>
    <t xml:space="preserve">Carried forward at R_USD; enters USD_PUT as a negative (cost)</t>
  </si>
  <si>
    <t xml:space="preserve">Future value of call premium at settlement</t>
  </si>
  <si>
    <t xml:space="preserve">FV_PREM_CALL</t>
  </si>
  <si>
    <t xml:space="preserve">Carried forward at R_USD; enters USD_CALL as a subtracted (added-cost) term</t>
  </si>
  <si>
    <t xml:space="preserve">FORWARD HEDGE</t>
  </si>
  <si>
    <t xml:space="preserve">Certainty benchmark — locked in at inception, invariant across the S_T grid</t>
  </si>
  <si>
    <t xml:space="preserve">Inputs Used (linked)</t>
  </si>
  <si>
    <t xml:space="preserve">FC Notional</t>
  </si>
  <si>
    <t xml:space="preserve">Forward Rate (F0_in)</t>
  </si>
  <si>
    <t xml:space="preserve">Calculation</t>
  </si>
  <si>
    <t xml:space="preserve">USD Proceeds at Settlement = FC_AMT × F0_in</t>
  </si>
  <si>
    <t xml:space="preserve">Named range: USD_FWD</t>
  </si>
  <si>
    <t xml:space="preserve">MONEY MARKET HEDGE</t>
  </si>
  <si>
    <t xml:space="preserve">Borrow → convert → invest replication of the forward (covered interest-rate parity)</t>
  </si>
  <si>
    <t xml:space="preserve">Step 1 — Borrow FC today (present value of the receivable)</t>
  </si>
  <si>
    <t xml:space="preserve">FC borrowed today = FC_AMT / DF_FC</t>
  </si>
  <si>
    <t xml:space="preserve">Step 2 — Convert borrowed FC to USD at spot</t>
  </si>
  <si>
    <t xml:space="preserve">USD received today = Step 1 × S0_in</t>
  </si>
  <si>
    <t xml:space="preserve">Step 3 — Invest USD to maturity</t>
  </si>
  <si>
    <t xml:space="preserve">USD at maturity = Step 2 × DF_USD</t>
  </si>
  <si>
    <t xml:space="preserve">Named range: USD_MM</t>
  </si>
  <si>
    <t xml:space="preserve">At maturity, the FC receivable exactly repays the Step-1 foreign borrowing, so the USD deposit above is the locked-in proceed.</t>
  </si>
  <si>
    <t xml:space="preserve">Parity Check</t>
  </si>
  <si>
    <t xml:space="preserve">|USD_MM − USD_FWD| ≤ 0.05% × USD_FWD ?</t>
  </si>
  <si>
    <t xml:space="preserve">Result</t>
  </si>
  <si>
    <t xml:space="preserve">OPTION HEDGE</t>
  </si>
  <si>
    <t xml:space="preserve">Put (receivable) and call (payable) — premium cost and proceeds as a function of S_T</t>
  </si>
  <si>
    <t xml:space="preserve">PUT — Receivable Hedge</t>
  </si>
  <si>
    <t xml:space="preserve">Strike (K_PUT)</t>
  </si>
  <si>
    <t xml:space="preserve">Premium per EUR (PREM_PUT)</t>
  </si>
  <si>
    <t xml:space="preserve">Premium cost upfront (USD) = PREM_PUT × FC_AMT</t>
  </si>
  <si>
    <t xml:space="preserve">Premium future-valued at settlement (FV_PREM_PUT)</t>
  </si>
  <si>
    <t xml:space="preserve">Proceeds as a function of spot at settlement (S_T):</t>
  </si>
  <si>
    <t xml:space="preserve">S_T (USD/EUR)</t>
  </si>
  <si>
    <t xml:space="preserve">USD Proceeds = MAX(S_T,K_PUT)×FC_AMT + FV_PREM_PUT</t>
  </si>
  <si>
    <t xml:space="preserve">-5%</t>
  </si>
  <si>
    <t xml:space="preserve">-2.5%</t>
  </si>
  <si>
    <t xml:space="preserve">0% (spot)</t>
  </si>
  <si>
    <t xml:space="preserve">+2.5%</t>
  </si>
  <si>
    <t xml:space="preserve">+5%</t>
  </si>
  <si>
    <t xml:space="preserve">CALL — Payable Hedge</t>
  </si>
  <si>
    <t xml:space="preserve">Strike (K_CALL)</t>
  </si>
  <si>
    <t xml:space="preserve">Premium per EUR (PREM_CALL)</t>
  </si>
  <si>
    <t xml:space="preserve">Premium cost upfront (USD) = PREM_CALL × FC_AMT</t>
  </si>
  <si>
    <t xml:space="preserve">Premium future-valued at settlement (FV_PREM_CALL)</t>
  </si>
  <si>
    <t xml:space="preserve">Outlay as a function of spot at settlement (S_T):</t>
  </si>
  <si>
    <t xml:space="preserve">USD Outlay = MIN(S_T,K_CALL)×FC_AMT − FV_PREM_CALL</t>
  </si>
  <si>
    <t xml:space="preserve">SENSITIVITY</t>
  </si>
  <si>
    <t xml:space="preserve">±5% spot grid in 1% (STEP_FRAC) increments — all four strategies, formula-driven</t>
  </si>
  <si>
    <t xml:space="preserve">n</t>
  </si>
  <si>
    <t xml:space="preserve">No Hedge</t>
  </si>
  <si>
    <t xml:space="preserve">Forward</t>
  </si>
  <si>
    <t xml:space="preserve">Money Market</t>
  </si>
  <si>
    <t xml:space="preserve">Option (Put)</t>
  </si>
  <si>
    <t xml:space="preserve">Profit vs Fwd</t>
  </si>
  <si>
    <t xml:space="preserve">Profit vs MM</t>
  </si>
  <si>
    <t xml:space="preserve">Profit vs Put</t>
  </si>
  <si>
    <t xml:space="preserve">Overall Winner</t>
  </si>
  <si>
    <t xml:space="preserve">Best Active Hedge</t>
  </si>
  <si>
    <t xml:space="preserve">Summary Metrics</t>
  </si>
  <si>
    <t xml:space="preserve">USD_FLOOR_PUT (worst-case put outcome on the grid)</t>
  </si>
  <si>
    <t xml:space="preserve">USD_BASE_NO_HEDGE (at S_T = S0_in)</t>
  </si>
  <si>
    <t xml:space="preserve">USD_BASE_FWD (at S_T = S0_in)</t>
  </si>
  <si>
    <t xml:space="preserve">USD_BASE_MM (at S_T = S0_in)</t>
  </si>
  <si>
    <t xml:space="preserve">USD_BASE_PUT (at S_T = S0_in)</t>
  </si>
  <si>
    <t xml:space="preserve">Grid Symmetry Check</t>
  </si>
  <si>
    <t xml:space="preserve">Grid spans exactly S0_in × (1 ± 5%), driven by STEP_FRAC?</t>
  </si>
  <si>
    <t xml:space="preserve">NOTES &amp; ASSUMPTIONS</t>
  </si>
  <si>
    <t xml:space="preserve">Conventions, sources, validation checks, and version history</t>
  </si>
  <si>
    <t xml:space="preserve">Assumptions</t>
  </si>
  <si>
    <t xml:space="preserve">• Quote convention: all rates expressed as USD per unit of foreign currency (USD/EUR). A higher quote means EUR appreciation.</t>
  </si>
  <si>
    <t xml:space="preserve">• Horizon: single-maturity model, T_DAYS = 365 (12-month tenor).</t>
  </si>
  <si>
    <t xml:space="preserve">• Day-count basis: simplified single BASIS = 360 applied to both legs (textbook simple-interest form). A rigorous build would split this into BASIS_USD (ACT/360) and BASIS_FC (ACT/365) — flagged as a Stage-4 improvement.</t>
  </si>
  <si>
    <t xml:space="preserve">• Parity: the money-market hedge is assumed to replicate the forward hedge under covered interest-rate parity; the Parity Check on the Money Market Hedge tab tests this.</t>
  </si>
  <si>
    <t xml:space="preserve">• Option premium: paid upfront in USD, quoted per 1 unit of EUR (no contract multiplier); carried forward at R_USD so it is on the same footing as settlement-date USD proceeds.</t>
  </si>
  <si>
    <t xml:space="preserve">• Counterparty / credit risk: excluded. All derivatives assumed frictionless and creditworthy.</t>
  </si>
  <si>
    <t xml:space="preserve">• Transaction costs &amp; bid-ask spreads: excluded from this base case.</t>
  </si>
  <si>
    <t xml:space="preserve">• Tax / accounting treatment: excluded. Model reports pre-tax cash outcomes only.</t>
  </si>
  <si>
    <t xml:space="preserve">• Scenario construction: S_T is varied deterministically across a symmetric grid; no probability weights or implied-volatility distribution are applied.</t>
  </si>
  <si>
    <t xml:space="preserve">• Strike defaulting: both K_PUT and K_CALL default to S0_in (at-the-money); override on the Inputs tab with a live quote at Stage 4.</t>
  </si>
  <si>
    <t xml:space="preserve">Validation Checks</t>
  </si>
  <si>
    <t xml:space="preserve">Check</t>
  </si>
  <si>
    <t xml:space="preserve">Parity check: money-market hedge ties to forward hedge within 0.05%</t>
  </si>
  <si>
    <t xml:space="preserve">Kink verification: put payoff at S_T = K_PUT equals K_PUT×FC_AMT + FV_PREM_PUT</t>
  </si>
  <si>
    <t xml:space="preserve">Sensitivity grid symmetry (±5% around S0_in, driven by STEP_FRAC)</t>
  </si>
  <si>
    <t xml:space="preserve">Auditability Checklist</t>
  </si>
  <si>
    <t xml:space="preserve">☑ Every input has a standardized named range (Inputs tab, §2.1 of the spec).</t>
  </si>
  <si>
    <t xml:space="preserve">☑ Every formula uses named ranges — no bare $F$n references anywhere in the workbook.</t>
  </si>
  <si>
    <t xml:space="preserve">☑ Money-market hedge ties to forward hedge within 0.05% (see Parity Check above).</t>
  </si>
  <si>
    <t xml:space="preserve">☑ Put payoff at S_T = K_PUT equals K_PUT × FC_AMT + FV_PREM_PUT (see Kink Verification above).</t>
  </si>
  <si>
    <t xml:space="preserve">☑ Sensitivity grid is symmetric around S_T = S0_in and driven by STEP_FRAC (see Grid Symmetry Check above).</t>
  </si>
  <si>
    <t xml:space="preserve">☑ This tab records spot / forward / rate / premium sources with access dates (see Inputs tab, column E–F).</t>
  </si>
  <si>
    <t xml:space="preserve">☑ Cell colors match the Legend-Key tab: yellow inputs, blue assumptions, green formulas, gray outputs.</t>
  </si>
  <si>
    <t xml:space="preserve">Change Log</t>
  </si>
  <si>
    <t xml:space="preserve">Date</t>
  </si>
  <si>
    <t xml:space="preserve">Author</t>
  </si>
  <si>
    <t xml:space="preserve">Change</t>
  </si>
  <si>
    <t xml:space="preserve">0.1</t>
  </si>
  <si>
    <t xml:space="preserve">Initial spec draft (Stage 2/3)</t>
  </si>
  <si>
    <t xml:space="preserve">1.0</t>
  </si>
  <si>
    <t xml:space="preserve">2026-08-06</t>
  </si>
  <si>
    <t xml:space="preserve">Stage 3 workbook build — named ranges, three hedge tabs, sensitivity grid + chart, validation checks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</si>
</sst>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#,##0"/>
    <numFmt numFmtId="167" formatCode="0.0000"/>
    <numFmt numFmtId="168" formatCode="0.000%"/>
    <numFmt numFmtId="169" formatCode="0.00000"/>
    <numFmt numFmtId="170" formatCode="\$#,##0;&quot;($&quot;#,##0\)"/>
    <numFmt numFmtId="171" formatCode="#,##0.00"/>
    <numFmt numFmtId="172" formatCode="\+0;\-0;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Open Sans"/>
      <family val="0"/>
      <charset val="1"/>
    </font>
    <font>
      <sz val="10"/>
      <color rgb="FF525252"/>
      <name val="Open Sans"/>
      <family val="0"/>
      <charset val="1"/>
    </font>
    <font>
      <b val="true"/>
      <sz val="16"/>
      <color rgb="FF024731"/>
      <name val="Open Sans"/>
      <family val="0"/>
      <charset val="1"/>
    </font>
    <font>
      <i val="true"/>
      <sz val="12"/>
      <color rgb="FF525252"/>
      <name val="Open Sans"/>
      <family val="0"/>
      <charset val="1"/>
    </font>
    <font>
      <b val="true"/>
      <sz val="10"/>
      <color rgb="FF000000"/>
      <name val="Open Sans"/>
      <family val="0"/>
      <charset val="1"/>
    </font>
    <font>
      <sz val="10"/>
      <color rgb="FF000000"/>
      <name val="Open Sans"/>
      <family val="0"/>
      <charset val="1"/>
    </font>
    <font>
      <b val="true"/>
      <sz val="11"/>
      <color rgb="FF024731"/>
      <name val="Open Sans"/>
      <family val="0"/>
      <charset val="1"/>
    </font>
    <font>
      <b val="true"/>
      <sz val="10"/>
      <color rgb="FFB43232"/>
      <name val="Open Sans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ui-monospace"/>
      <family val="0"/>
      <charset val="1"/>
    </font>
    <font>
      <sz val="10"/>
      <color rgb="FF0000FF"/>
      <name val="Open Sans"/>
      <family val="0"/>
      <charset val="1"/>
    </font>
    <font>
      <sz val="10"/>
      <color rgb="FF008000"/>
      <name val="Open Sans"/>
      <family val="0"/>
      <charset val="1"/>
    </font>
    <font>
      <b val="true"/>
      <sz val="11"/>
      <name val="ui-monospace"/>
      <family val="0"/>
      <charset val="1"/>
    </font>
    <font>
      <i val="true"/>
      <sz val="11"/>
      <color rgb="FF525252"/>
      <name val="ui-monospace"/>
      <family val="0"/>
      <charset val="1"/>
    </font>
    <font>
      <sz val="9"/>
      <color rgb="FF525252"/>
      <name val="Cambria"/>
      <family val="0"/>
      <charset val="1"/>
    </font>
    <font>
      <sz val="10"/>
      <name val="Arial"/>
      <family val="2"/>
    </font>
    <font>
      <i val="true"/>
      <sz val="9"/>
      <color rgb="FF525252"/>
      <name val="ui-monospace"/>
      <family val="0"/>
      <charset val="1"/>
    </font>
    <font>
      <i val="true"/>
      <sz val="9"/>
      <color rgb="FF525252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24731"/>
        <bgColor rgb="FF013D26"/>
      </patternFill>
    </fill>
    <fill>
      <patternFill patternType="solid">
        <fgColor rgb="FFE6F2E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E6F2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2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78787"/>
      <rgbColor rgb="FF9999FF"/>
      <rgbColor rgb="FF993366"/>
      <rgbColor rgb="FFFFFFCC"/>
      <rgbColor rgb="FFE6F2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5252"/>
      <rgbColor rgb="FF969696"/>
      <rgbColor rgb="FF024731"/>
      <rgbColor rgb="FF339966"/>
      <rgbColor rgb="FF013D26"/>
      <rgbColor rgb="FF333300"/>
      <rgbColor rgb="FFB4323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Sensitivity: USD Outcome vs. Spot at Settlement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"No Hedge"</c:f>
              <c:strCache>
                <c:ptCount val="1"/>
                <c:pt idx="0">
                  <c:v>No Hedge</c:v>
                </c:pt>
              </c:strCache>
            </c:strRef>
          </c:tx>
          <c:spPr>
            <a:solidFill>
              <a:srgbClr val="000000"/>
            </a:solidFill>
            <a:ln w="201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1.0796</c:v>
                </c:pt>
                <c:pt idx="1">
                  <c:v>1.0909</c:v>
                </c:pt>
                <c:pt idx="2">
                  <c:v>1.1023</c:v>
                </c:pt>
                <c:pt idx="3">
                  <c:v>1.1137</c:v>
                </c:pt>
                <c:pt idx="4">
                  <c:v>1.1250</c:v>
                </c:pt>
                <c:pt idx="5">
                  <c:v>1.1364</c:v>
                </c:pt>
                <c:pt idx="6">
                  <c:v>1.1478</c:v>
                </c:pt>
                <c:pt idx="7">
                  <c:v>1.1591</c:v>
                </c:pt>
                <c:pt idx="8">
                  <c:v>1.1705</c:v>
                </c:pt>
                <c:pt idx="9">
                  <c:v>1.1819</c:v>
                </c:pt>
                <c:pt idx="10">
                  <c:v>1.1932</c:v>
                </c:pt>
              </c:strCache>
            </c:strRef>
          </c:cat>
          <c:val>
            <c:numRef>
              <c:f>Sensitivity!$C$4:$C$15</c:f>
              <c:numCache>
                <c:formatCode>\$#,##0;"($"#,##0\)</c:formatCode>
                <c:ptCount val="12"/>
                <c:pt idx="1">
                  <c:v>8636640</c:v>
                </c:pt>
                <c:pt idx="2">
                  <c:v>8727552</c:v>
                </c:pt>
                <c:pt idx="3">
                  <c:v>8818464</c:v>
                </c:pt>
                <c:pt idx="4">
                  <c:v>8909376</c:v>
                </c:pt>
                <c:pt idx="5">
                  <c:v>9000288</c:v>
                </c:pt>
                <c:pt idx="6">
                  <c:v>9091200</c:v>
                </c:pt>
                <c:pt idx="7">
                  <c:v>9182112</c:v>
                </c:pt>
                <c:pt idx="8">
                  <c:v>9273024</c:v>
                </c:pt>
                <c:pt idx="9">
                  <c:v>9363936</c:v>
                </c:pt>
                <c:pt idx="10">
                  <c:v>9454848</c:v>
                </c:pt>
                <c:pt idx="11">
                  <c:v>9545760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"Forward"</c:f>
              <c:strCache>
                <c:ptCount val="1"/>
                <c:pt idx="0">
                  <c:v>Forward</c:v>
                </c:pt>
              </c:strCache>
            </c:strRef>
          </c:tx>
          <c:spPr>
            <a:solidFill>
              <a:srgbClr val="024731"/>
            </a:solidFill>
            <a:ln w="20160">
              <a:solidFill>
                <a:srgbClr val="0247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1.0796</c:v>
                </c:pt>
                <c:pt idx="1">
                  <c:v>1.0909</c:v>
                </c:pt>
                <c:pt idx="2">
                  <c:v>1.1023</c:v>
                </c:pt>
                <c:pt idx="3">
                  <c:v>1.1137</c:v>
                </c:pt>
                <c:pt idx="4">
                  <c:v>1.1250</c:v>
                </c:pt>
                <c:pt idx="5">
                  <c:v>1.1364</c:v>
                </c:pt>
                <c:pt idx="6">
                  <c:v>1.1478</c:v>
                </c:pt>
                <c:pt idx="7">
                  <c:v>1.1591</c:v>
                </c:pt>
                <c:pt idx="8">
                  <c:v>1.1705</c:v>
                </c:pt>
                <c:pt idx="9">
                  <c:v>1.1819</c:v>
                </c:pt>
                <c:pt idx="10">
                  <c:v>1.1932</c:v>
                </c:pt>
              </c:strCache>
            </c:strRef>
          </c:cat>
          <c:val>
            <c:numRef>
              <c:f>Sensitivity!$D$4:$D$15</c:f>
              <c:numCache>
                <c:formatCode>\$#,##0;"($"#,##0\)</c:formatCode>
                <c:ptCount val="12"/>
                <c:pt idx="1">
                  <c:v>9217600</c:v>
                </c:pt>
                <c:pt idx="2">
                  <c:v>9217600</c:v>
                </c:pt>
                <c:pt idx="3">
                  <c:v>9217600</c:v>
                </c:pt>
                <c:pt idx="4">
                  <c:v>9217600</c:v>
                </c:pt>
                <c:pt idx="5">
                  <c:v>9217600</c:v>
                </c:pt>
                <c:pt idx="6">
                  <c:v>9217600</c:v>
                </c:pt>
                <c:pt idx="7">
                  <c:v>9217600</c:v>
                </c:pt>
                <c:pt idx="8">
                  <c:v>9217600</c:v>
                </c:pt>
                <c:pt idx="9">
                  <c:v>9217600</c:v>
                </c:pt>
                <c:pt idx="10">
                  <c:v>9217600</c:v>
                </c:pt>
                <c:pt idx="11">
                  <c:v>9217600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"Money Market"</c:f>
              <c:strCache>
                <c:ptCount val="1"/>
                <c:pt idx="0">
                  <c:v>Money Market</c:v>
                </c:pt>
              </c:strCache>
            </c:strRef>
          </c:tx>
          <c:spPr>
            <a:solidFill>
              <a:srgbClr val="013d26"/>
            </a:solidFill>
            <a:ln w="20160">
              <a:solidFill>
                <a:srgbClr val="013d2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1.0796</c:v>
                </c:pt>
                <c:pt idx="1">
                  <c:v>1.0909</c:v>
                </c:pt>
                <c:pt idx="2">
                  <c:v>1.1023</c:v>
                </c:pt>
                <c:pt idx="3">
                  <c:v>1.1137</c:v>
                </c:pt>
                <c:pt idx="4">
                  <c:v>1.1250</c:v>
                </c:pt>
                <c:pt idx="5">
                  <c:v>1.1364</c:v>
                </c:pt>
                <c:pt idx="6">
                  <c:v>1.1478</c:v>
                </c:pt>
                <c:pt idx="7">
                  <c:v>1.1591</c:v>
                </c:pt>
                <c:pt idx="8">
                  <c:v>1.1705</c:v>
                </c:pt>
                <c:pt idx="9">
                  <c:v>1.1819</c:v>
                </c:pt>
                <c:pt idx="10">
                  <c:v>1.1932</c:v>
                </c:pt>
              </c:strCache>
            </c:strRef>
          </c:cat>
          <c:val>
            <c:numRef>
              <c:f>Sensitivity!$E$4:$E$15</c:f>
              <c:numCache>
                <c:formatCode>\$#,##0;"($"#,##0\)</c:formatCode>
                <c:ptCount val="12"/>
                <c:pt idx="1">
                  <c:v>9217938.63905347</c:v>
                </c:pt>
                <c:pt idx="2">
                  <c:v>9217938.63905347</c:v>
                </c:pt>
                <c:pt idx="3">
                  <c:v>9217938.63905347</c:v>
                </c:pt>
                <c:pt idx="4">
                  <c:v>9217938.63905347</c:v>
                </c:pt>
                <c:pt idx="5">
                  <c:v>9217938.63905347</c:v>
                </c:pt>
                <c:pt idx="6">
                  <c:v>9217938.63905347</c:v>
                </c:pt>
                <c:pt idx="7">
                  <c:v>9217938.63905347</c:v>
                </c:pt>
                <c:pt idx="8">
                  <c:v>9217938.63905347</c:v>
                </c:pt>
                <c:pt idx="9">
                  <c:v>9217938.63905347</c:v>
                </c:pt>
                <c:pt idx="10">
                  <c:v>9217938.63905347</c:v>
                </c:pt>
                <c:pt idx="11">
                  <c:v>9217938.63905347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"Option (Put)"</c:f>
              <c:strCache>
                <c:ptCount val="1"/>
                <c:pt idx="0">
                  <c:v>Option (Put)</c:v>
                </c:pt>
              </c:strCache>
            </c:strRef>
          </c:tx>
          <c:spPr>
            <a:solidFill>
              <a:srgbClr val="525252"/>
            </a:solidFill>
            <a:ln w="20160">
              <a:solidFill>
                <a:srgbClr val="525252"/>
              </a:solidFill>
              <a:prstDash val="sysDot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Sensitivity!$B$5:$B$15</c:f>
              <c:strCache>
                <c:ptCount val="11"/>
                <c:pt idx="0">
                  <c:v>1.0796</c:v>
                </c:pt>
                <c:pt idx="1">
                  <c:v>1.0909</c:v>
                </c:pt>
                <c:pt idx="2">
                  <c:v>1.1023</c:v>
                </c:pt>
                <c:pt idx="3">
                  <c:v>1.1137</c:v>
                </c:pt>
                <c:pt idx="4">
                  <c:v>1.1250</c:v>
                </c:pt>
                <c:pt idx="5">
                  <c:v>1.1364</c:v>
                </c:pt>
                <c:pt idx="6">
                  <c:v>1.1478</c:v>
                </c:pt>
                <c:pt idx="7">
                  <c:v>1.1591</c:v>
                </c:pt>
                <c:pt idx="8">
                  <c:v>1.1705</c:v>
                </c:pt>
                <c:pt idx="9">
                  <c:v>1.1819</c:v>
                </c:pt>
                <c:pt idx="10">
                  <c:v>1.1932</c:v>
                </c:pt>
              </c:strCache>
            </c:strRef>
          </c:cat>
          <c:val>
            <c:numRef>
              <c:f>Sensitivity!$F$4:$F$15</c:f>
              <c:numCache>
                <c:formatCode>\$#,##0;"($"#,##0\)</c:formatCode>
                <c:ptCount val="12"/>
                <c:pt idx="1">
                  <c:v>8941155.6</c:v>
                </c:pt>
                <c:pt idx="2">
                  <c:v>8941155.6</c:v>
                </c:pt>
                <c:pt idx="3">
                  <c:v>8941155.6</c:v>
                </c:pt>
                <c:pt idx="4">
                  <c:v>8941155.6</c:v>
                </c:pt>
                <c:pt idx="5">
                  <c:v>8941155.6</c:v>
                </c:pt>
                <c:pt idx="6">
                  <c:v>8941155.6</c:v>
                </c:pt>
                <c:pt idx="7">
                  <c:v>9032067.6</c:v>
                </c:pt>
                <c:pt idx="8">
                  <c:v>9122979.6</c:v>
                </c:pt>
                <c:pt idx="9">
                  <c:v>9213891.6</c:v>
                </c:pt>
                <c:pt idx="10">
                  <c:v>9304803.6</c:v>
                </c:pt>
                <c:pt idx="11">
                  <c:v>9395715.6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1247143"/>
        <c:axId val="36679278"/>
      </c:lineChart>
      <c:catAx>
        <c:axId val="512471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S_T (USD per 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79278"/>
        <c:crosses val="autoZero"/>
        <c:auto val="1"/>
        <c:lblAlgn val="ctr"/>
        <c:lblOffset val="100"/>
        <c:noMultiLvlLbl val="0"/>
      </c:catAx>
      <c:valAx>
        <c:axId val="366792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247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8</xdr:col>
      <xdr:colOff>307080</xdr:colOff>
      <xdr:row>42</xdr:row>
      <xdr:rowOff>170640</xdr:rowOff>
    </xdr:to>
    <xdr:graphicFrame>
      <xdr:nvGraphicFramePr>
        <xdr:cNvPr id="0" name="Chart 1"/>
        <xdr:cNvGraphicFramePr/>
      </xdr:nvGraphicFramePr>
      <xdr:xfrm>
        <a:off x="0" y="489600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6" min="3" style="0" width="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9.7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7" customFormat="false" ht="30" hidden="false" customHeight="true" outlineLevel="0" collapsed="false">
      <c r="A7" s="5" t="s">
        <v>4</v>
      </c>
      <c r="B7" s="6" t="s">
        <v>5</v>
      </c>
    </row>
    <row r="8" customFormat="false" ht="15.75" hidden="false" customHeight="true" outlineLevel="0" collapsed="false">
      <c r="A8" s="5" t="s">
        <v>6</v>
      </c>
      <c r="B8" s="6" t="s">
        <v>7</v>
      </c>
    </row>
    <row r="9" customFormat="false" ht="15.75" hidden="false" customHeight="true" outlineLevel="0" collapsed="false">
      <c r="A9" s="5" t="s">
        <v>8</v>
      </c>
      <c r="B9" s="6" t="s">
        <v>7</v>
      </c>
    </row>
    <row r="10" customFormat="false" ht="15.75" hidden="false" customHeight="true" outlineLevel="0" collapsed="false">
      <c r="A10" s="5" t="s">
        <v>9</v>
      </c>
      <c r="B10" s="6" t="s">
        <v>10</v>
      </c>
    </row>
    <row r="11" customFormat="false" ht="15.75" hidden="false" customHeight="true" outlineLevel="0" collapsed="false">
      <c r="A11" s="5" t="s">
        <v>11</v>
      </c>
      <c r="B11" s="6" t="s">
        <v>12</v>
      </c>
    </row>
    <row r="12" customFormat="false" ht="15.75" hidden="false" customHeight="true" outlineLevel="0" collapsed="false">
      <c r="A12" s="5" t="s">
        <v>13</v>
      </c>
      <c r="B12" s="6" t="s">
        <v>14</v>
      </c>
    </row>
    <row r="13" customFormat="false" ht="15.75" hidden="false" customHeight="true" outlineLevel="0" collapsed="false">
      <c r="A13" s="5" t="s">
        <v>15</v>
      </c>
      <c r="B13" s="6" t="s">
        <v>14</v>
      </c>
    </row>
    <row r="14" customFormat="false" ht="15.75" hidden="false" customHeight="true" outlineLevel="0" collapsed="false">
      <c r="A14" s="5" t="s">
        <v>16</v>
      </c>
      <c r="B14" s="6" t="s">
        <v>17</v>
      </c>
    </row>
    <row r="15" customFormat="false" ht="30" hidden="false" customHeight="true" outlineLevel="0" collapsed="false">
      <c r="A15" s="5" t="s">
        <v>18</v>
      </c>
      <c r="B15" s="6" t="s">
        <v>19</v>
      </c>
    </row>
    <row r="16" customFormat="false" ht="30" hidden="false" customHeight="true" outlineLevel="0" collapsed="false">
      <c r="A16" s="5" t="s">
        <v>20</v>
      </c>
      <c r="B16" s="6" t="s">
        <v>21</v>
      </c>
    </row>
    <row r="18" customFormat="false" ht="15" hidden="false" customHeight="false" outlineLevel="0" collapsed="false">
      <c r="A18" s="7" t="s">
        <v>22</v>
      </c>
      <c r="B18" s="7"/>
      <c r="C18" s="7"/>
      <c r="D18" s="7"/>
      <c r="E18" s="7"/>
      <c r="F18" s="7"/>
    </row>
    <row r="19" customFormat="false" ht="27.75" hidden="false" customHeight="true" outlineLevel="0" collapsed="false">
      <c r="A19" s="8" t="s">
        <v>23</v>
      </c>
      <c r="B19" s="8"/>
    </row>
    <row r="21" customFormat="false" ht="15" hidden="false" customHeight="false" outlineLevel="0" collapsed="false">
      <c r="A21" s="9" t="s">
        <v>24</v>
      </c>
    </row>
    <row r="22" customFormat="false" ht="15" hidden="false" customHeight="true" outlineLevel="0" collapsed="false">
      <c r="A22" s="10" t="s">
        <v>25</v>
      </c>
      <c r="B22" s="10"/>
      <c r="C22" s="10"/>
      <c r="D22" s="10"/>
      <c r="E22" s="10"/>
      <c r="F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</row>
    <row r="26" customFormat="false" ht="15" hidden="false" customHeight="false" outlineLevel="0" collapsed="false">
      <c r="A26" s="7" t="s">
        <v>26</v>
      </c>
      <c r="B26" s="7"/>
      <c r="C26" s="7"/>
      <c r="D26" s="7"/>
      <c r="E26" s="7"/>
      <c r="F26" s="7"/>
    </row>
    <row r="27" customFormat="false" ht="15" hidden="false" customHeight="false" outlineLevel="0" collapsed="false">
      <c r="A27" s="11" t="s">
        <v>27</v>
      </c>
      <c r="B27" s="11" t="s">
        <v>28</v>
      </c>
    </row>
    <row r="28" customFormat="false" ht="15" hidden="false" customHeight="false" outlineLevel="0" collapsed="false">
      <c r="A28" s="11" t="s">
        <v>29</v>
      </c>
      <c r="B28" s="11" t="s">
        <v>30</v>
      </c>
    </row>
  </sheetData>
  <mergeCells count="6">
    <mergeCell ref="A1:F1"/>
    <mergeCell ref="A2:F2"/>
    <mergeCell ref="A18:F18"/>
    <mergeCell ref="A19:B19"/>
    <mergeCell ref="A22:F24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4" min="3" style="0" width="4"/>
  </cols>
  <sheetData>
    <row r="1" customFormat="false" ht="25.5" hidden="false" customHeight="true" outlineLevel="0" collapsed="false">
      <c r="A1" s="1" t="s">
        <v>31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2" t="s">
        <v>33</v>
      </c>
      <c r="B4" s="12" t="s">
        <v>34</v>
      </c>
      <c r="C4" s="12" t="s">
        <v>35</v>
      </c>
    </row>
    <row r="5" customFormat="false" ht="30" hidden="false" customHeight="true" outlineLevel="0" collapsed="false">
      <c r="A5" s="13" t="s">
        <v>36</v>
      </c>
      <c r="B5" s="14" t="s">
        <v>37</v>
      </c>
      <c r="C5" s="15" t="s">
        <v>38</v>
      </c>
    </row>
    <row r="6" customFormat="false" ht="30" hidden="false" customHeight="true" outlineLevel="0" collapsed="false">
      <c r="A6" s="16" t="s">
        <v>39</v>
      </c>
      <c r="B6" s="14" t="s">
        <v>40</v>
      </c>
      <c r="C6" s="17" t="s">
        <v>41</v>
      </c>
    </row>
    <row r="7" customFormat="false" ht="30" hidden="false" customHeight="true" outlineLevel="0" collapsed="false">
      <c r="A7" s="18" t="s">
        <v>42</v>
      </c>
      <c r="B7" s="14" t="s">
        <v>43</v>
      </c>
      <c r="C7" s="19" t="n">
        <f aca="false">FC_AMT*F0_in</f>
        <v>9217600</v>
      </c>
    </row>
    <row r="8" customFormat="false" ht="30" hidden="false" customHeight="true" outlineLevel="0" collapsed="false">
      <c r="A8" s="20" t="s">
        <v>44</v>
      </c>
      <c r="B8" s="14" t="s">
        <v>45</v>
      </c>
      <c r="C8" s="5" t="s">
        <v>46</v>
      </c>
    </row>
    <row r="10" customFormat="false" ht="15" hidden="false" customHeight="false" outlineLevel="0" collapsed="false">
      <c r="A10" s="7" t="s">
        <v>47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12" t="s">
        <v>48</v>
      </c>
      <c r="B11" s="12" t="s">
        <v>49</v>
      </c>
    </row>
    <row r="12" customFormat="false" ht="25.5" hidden="false" customHeight="true" outlineLevel="0" collapsed="false">
      <c r="A12" s="21" t="s">
        <v>50</v>
      </c>
      <c r="B12" s="14" t="s">
        <v>51</v>
      </c>
    </row>
    <row r="13" customFormat="false" ht="25.5" hidden="false" customHeight="true" outlineLevel="0" collapsed="false">
      <c r="A13" s="21" t="s">
        <v>52</v>
      </c>
      <c r="B13" s="14" t="s">
        <v>53</v>
      </c>
    </row>
    <row r="14" customFormat="false" ht="25.5" hidden="false" customHeight="true" outlineLevel="0" collapsed="false">
      <c r="A14" s="21" t="s">
        <v>54</v>
      </c>
      <c r="B14" s="14" t="s">
        <v>55</v>
      </c>
    </row>
    <row r="15" customFormat="false" ht="25.5" hidden="false" customHeight="true" outlineLevel="0" collapsed="false">
      <c r="A15" s="21" t="s">
        <v>56</v>
      </c>
      <c r="B15" s="14" t="s">
        <v>57</v>
      </c>
    </row>
    <row r="16" customFormat="false" ht="25.5" hidden="false" customHeight="true" outlineLevel="0" collapsed="false">
      <c r="A16" s="21" t="s">
        <v>58</v>
      </c>
      <c r="B16" s="14" t="s">
        <v>59</v>
      </c>
    </row>
    <row r="17" customFormat="false" ht="25.5" hidden="false" customHeight="true" outlineLevel="0" collapsed="false">
      <c r="A17" s="21" t="s">
        <v>60</v>
      </c>
      <c r="B17" s="14" t="s">
        <v>61</v>
      </c>
    </row>
    <row r="18" customFormat="false" ht="25.5" hidden="false" customHeight="true" outlineLevel="0" collapsed="false">
      <c r="A18" s="21" t="s">
        <v>62</v>
      </c>
      <c r="B18" s="14" t="s">
        <v>63</v>
      </c>
    </row>
    <row r="19" customFormat="false" ht="25.5" hidden="false" customHeight="true" outlineLevel="0" collapsed="false">
      <c r="A19" s="21" t="s">
        <v>64</v>
      </c>
      <c r="B19" s="14" t="s">
        <v>65</v>
      </c>
    </row>
  </sheetData>
  <mergeCells count="3">
    <mergeCell ref="A1:F1"/>
    <mergeCell ref="A2:F2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20"/>
  </cols>
  <sheetData>
    <row r="1" customFormat="false" ht="25.5" hidden="false" customHeight="true" outlineLevel="0" collapsed="false">
      <c r="A1" s="1" t="s">
        <v>66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67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2" t="s">
        <v>68</v>
      </c>
      <c r="B4" s="12" t="s">
        <v>69</v>
      </c>
      <c r="C4" s="12" t="s">
        <v>70</v>
      </c>
      <c r="D4" s="12" t="s">
        <v>71</v>
      </c>
      <c r="E4" s="12" t="s">
        <v>72</v>
      </c>
      <c r="F4" s="12" t="s">
        <v>73</v>
      </c>
    </row>
    <row r="5" customFormat="false" ht="27.75" hidden="false" customHeight="true" outlineLevel="0" collapsed="false">
      <c r="A5" s="11" t="s">
        <v>74</v>
      </c>
      <c r="B5" s="22" t="s">
        <v>75</v>
      </c>
      <c r="C5" s="23" t="n">
        <v>8000000</v>
      </c>
      <c r="D5" s="11" t="s">
        <v>76</v>
      </c>
      <c r="E5" s="24" t="s">
        <v>77</v>
      </c>
      <c r="F5" s="25" t="s">
        <v>78</v>
      </c>
    </row>
    <row r="6" customFormat="false" ht="27.75" hidden="false" customHeight="true" outlineLevel="0" collapsed="false">
      <c r="A6" s="11" t="s">
        <v>79</v>
      </c>
      <c r="B6" s="22" t="s">
        <v>80</v>
      </c>
      <c r="C6" s="26" t="n">
        <v>1.1364</v>
      </c>
      <c r="D6" s="11" t="s">
        <v>81</v>
      </c>
      <c r="E6" s="24" t="s">
        <v>82</v>
      </c>
      <c r="F6" s="25" t="s">
        <v>83</v>
      </c>
    </row>
    <row r="7" customFormat="false" ht="27.75" hidden="false" customHeight="true" outlineLevel="0" collapsed="false">
      <c r="A7" s="11" t="s">
        <v>84</v>
      </c>
      <c r="B7" s="22" t="s">
        <v>85</v>
      </c>
      <c r="C7" s="26" t="n">
        <v>1.1522</v>
      </c>
      <c r="D7" s="11" t="s">
        <v>81</v>
      </c>
      <c r="E7" s="24" t="s">
        <v>86</v>
      </c>
      <c r="F7" s="25" t="s">
        <v>87</v>
      </c>
    </row>
    <row r="8" customFormat="false" ht="27.75" hidden="false" customHeight="true" outlineLevel="0" collapsed="false">
      <c r="A8" s="11" t="s">
        <v>88</v>
      </c>
      <c r="B8" s="22" t="s">
        <v>89</v>
      </c>
      <c r="C8" s="27" t="n">
        <v>0.0414</v>
      </c>
      <c r="D8" s="11" t="s">
        <v>90</v>
      </c>
      <c r="E8" s="24" t="s">
        <v>91</v>
      </c>
      <c r="F8" s="25" t="s">
        <v>83</v>
      </c>
    </row>
    <row r="9" customFormat="false" ht="27.75" hidden="false" customHeight="true" outlineLevel="0" collapsed="false">
      <c r="A9" s="11" t="s">
        <v>92</v>
      </c>
      <c r="B9" s="22" t="s">
        <v>93</v>
      </c>
      <c r="C9" s="27" t="n">
        <v>0.02727</v>
      </c>
      <c r="D9" s="11" t="s">
        <v>90</v>
      </c>
      <c r="E9" s="24" t="s">
        <v>94</v>
      </c>
      <c r="F9" s="25" t="s">
        <v>83</v>
      </c>
    </row>
    <row r="10" customFormat="false" ht="27.75" hidden="false" customHeight="true" outlineLevel="0" collapsed="false">
      <c r="A10" s="11" t="s">
        <v>95</v>
      </c>
      <c r="B10" s="22" t="s">
        <v>96</v>
      </c>
      <c r="C10" s="16" t="n">
        <v>365</v>
      </c>
      <c r="D10" s="11" t="s">
        <v>97</v>
      </c>
      <c r="E10" s="24" t="s">
        <v>98</v>
      </c>
      <c r="F10" s="25" t="s">
        <v>99</v>
      </c>
    </row>
    <row r="11" customFormat="false" ht="27.75" hidden="false" customHeight="true" outlineLevel="0" collapsed="false">
      <c r="A11" s="11" t="s">
        <v>100</v>
      </c>
      <c r="B11" s="22" t="s">
        <v>101</v>
      </c>
      <c r="C11" s="16" t="n">
        <v>360</v>
      </c>
      <c r="D11" s="11" t="s">
        <v>97</v>
      </c>
      <c r="E11" s="24" t="s">
        <v>102</v>
      </c>
      <c r="F11" s="25" t="s">
        <v>103</v>
      </c>
    </row>
    <row r="12" customFormat="false" ht="27.75" hidden="false" customHeight="true" outlineLevel="0" collapsed="false">
      <c r="A12" s="11" t="s">
        <v>104</v>
      </c>
      <c r="B12" s="22" t="s">
        <v>105</v>
      </c>
      <c r="C12" s="28" t="n">
        <f aca="false">S0_in</f>
        <v>1.1364</v>
      </c>
      <c r="D12" s="11" t="s">
        <v>81</v>
      </c>
      <c r="E12" s="24" t="s">
        <v>106</v>
      </c>
      <c r="F12" s="25" t="s">
        <v>107</v>
      </c>
    </row>
    <row r="13" customFormat="false" ht="27.75" hidden="false" customHeight="true" outlineLevel="0" collapsed="false">
      <c r="A13" s="11" t="s">
        <v>108</v>
      </c>
      <c r="B13" s="22" t="s">
        <v>109</v>
      </c>
      <c r="C13" s="28" t="n">
        <f aca="false">S0_in</f>
        <v>1.1364</v>
      </c>
      <c r="D13" s="11" t="s">
        <v>81</v>
      </c>
      <c r="E13" s="24" t="s">
        <v>106</v>
      </c>
      <c r="F13" s="25" t="s">
        <v>107</v>
      </c>
    </row>
    <row r="14" customFormat="false" ht="27.75" hidden="false" customHeight="true" outlineLevel="0" collapsed="false">
      <c r="A14" s="11" t="s">
        <v>110</v>
      </c>
      <c r="B14" s="22" t="s">
        <v>111</v>
      </c>
      <c r="C14" s="26" t="n">
        <v>0.018</v>
      </c>
      <c r="D14" s="11" t="s">
        <v>112</v>
      </c>
      <c r="E14" s="24" t="s">
        <v>113</v>
      </c>
      <c r="F14" s="25" t="s">
        <v>83</v>
      </c>
    </row>
    <row r="15" customFormat="false" ht="27.75" hidden="false" customHeight="true" outlineLevel="0" collapsed="false">
      <c r="A15" s="11" t="s">
        <v>114</v>
      </c>
      <c r="B15" s="22" t="s">
        <v>115</v>
      </c>
      <c r="C15" s="26" t="n">
        <v>0.0175</v>
      </c>
      <c r="D15" s="11" t="s">
        <v>112</v>
      </c>
      <c r="E15" s="24" t="s">
        <v>113</v>
      </c>
      <c r="F15" s="25" t="s">
        <v>83</v>
      </c>
    </row>
    <row r="16" customFormat="false" ht="27.75" hidden="false" customHeight="true" outlineLevel="0" collapsed="false">
      <c r="A16" s="11" t="s">
        <v>116</v>
      </c>
      <c r="B16" s="22" t="s">
        <v>117</v>
      </c>
      <c r="C16" s="29" t="n">
        <v>0.01</v>
      </c>
      <c r="D16" s="11" t="s">
        <v>90</v>
      </c>
      <c r="E16" s="24" t="s">
        <v>118</v>
      </c>
      <c r="F16" s="25" t="s">
        <v>119</v>
      </c>
    </row>
    <row r="18" customFormat="false" ht="15" hidden="false" customHeight="false" outlineLevel="0" collapsed="false">
      <c r="A18" s="7" t="s">
        <v>120</v>
      </c>
      <c r="B18" s="7"/>
      <c r="C18" s="7"/>
      <c r="D18" s="7"/>
      <c r="E18" s="7"/>
      <c r="F18" s="7"/>
    </row>
    <row r="20" customFormat="false" ht="21.75" hidden="false" customHeight="true" outlineLevel="0" collapsed="false">
      <c r="A20" s="11" t="s">
        <v>121</v>
      </c>
      <c r="B20" s="22" t="s">
        <v>122</v>
      </c>
      <c r="C20" s="30" t="n">
        <f aca="false">1+R_USD*T_DAYS/BASIS</f>
        <v>1.041975</v>
      </c>
      <c r="F20" s="25" t="s">
        <v>123</v>
      </c>
    </row>
    <row r="21" customFormat="false" ht="21.75" hidden="false" customHeight="true" outlineLevel="0" collapsed="false">
      <c r="A21" s="11" t="s">
        <v>124</v>
      </c>
      <c r="B21" s="22" t="s">
        <v>125</v>
      </c>
      <c r="C21" s="30" t="n">
        <f aca="false">1+R_FC*T_DAYS/BASIS</f>
        <v>1.02764875</v>
      </c>
      <c r="F21" s="25" t="s">
        <v>126</v>
      </c>
    </row>
    <row r="22" customFormat="false" ht="21.75" hidden="false" customHeight="true" outlineLevel="0" collapsed="false">
      <c r="A22" s="11" t="s">
        <v>127</v>
      </c>
      <c r="B22" s="22" t="s">
        <v>128</v>
      </c>
      <c r="C22" s="31" t="n">
        <f aca="false">-PREM_PUT*FC_AMT*DF_USD</f>
        <v>-150044.4</v>
      </c>
      <c r="F22" s="25" t="s">
        <v>129</v>
      </c>
    </row>
    <row r="23" customFormat="false" ht="21.75" hidden="false" customHeight="true" outlineLevel="0" collapsed="false">
      <c r="A23" s="11" t="s">
        <v>130</v>
      </c>
      <c r="B23" s="22" t="s">
        <v>131</v>
      </c>
      <c r="C23" s="31" t="n">
        <f aca="false">-PREM_CALL*FC_AMT*DF_USD</f>
        <v>-145876.5</v>
      </c>
      <c r="F23" s="25" t="s">
        <v>132</v>
      </c>
    </row>
  </sheetData>
  <mergeCells count="3">
    <mergeCell ref="A1:F1"/>
    <mergeCell ref="A2:F2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6" min="3" style="0" width="4"/>
  </cols>
  <sheetData>
    <row r="1" customFormat="false" ht="25.5" hidden="false" customHeight="true" outlineLevel="0" collapsed="false">
      <c r="A1" s="1" t="s">
        <v>133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134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135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11" t="s">
        <v>136</v>
      </c>
      <c r="B5" s="32" t="n">
        <f aca="false">FC_AMT</f>
        <v>8000000</v>
      </c>
    </row>
    <row r="6" customFormat="false" ht="15" hidden="false" customHeight="false" outlineLevel="0" collapsed="false">
      <c r="A6" s="11" t="s">
        <v>137</v>
      </c>
      <c r="B6" s="33" t="n">
        <f aca="false">F0_in</f>
        <v>1.1522</v>
      </c>
    </row>
    <row r="8" customFormat="false" ht="15" hidden="false" customHeight="false" outlineLevel="0" collapsed="false">
      <c r="A8" s="7" t="s">
        <v>138</v>
      </c>
      <c r="B8" s="7"/>
      <c r="C8" s="7"/>
      <c r="D8" s="7"/>
      <c r="E8" s="7"/>
      <c r="F8" s="7"/>
    </row>
    <row r="9" customFormat="false" ht="15" hidden="false" customHeight="false" outlineLevel="0" collapsed="false">
      <c r="A9" s="5" t="s">
        <v>139</v>
      </c>
      <c r="B9" s="34" t="n">
        <f aca="false">FC_AMT*F0_in</f>
        <v>9217600</v>
      </c>
    </row>
    <row r="10" customFormat="false" ht="15" hidden="false" customHeight="false" outlineLevel="0" collapsed="false">
      <c r="A10" s="35" t="s">
        <v>140</v>
      </c>
    </row>
  </sheetData>
  <mergeCells count="4">
    <mergeCell ref="A1:F1"/>
    <mergeCell ref="A2:F2"/>
    <mergeCell ref="A4:F4"/>
    <mergeCell ref="A8:F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6" min="3" style="0" width="4"/>
  </cols>
  <sheetData>
    <row r="1" customFormat="false" ht="25.5" hidden="false" customHeight="true" outlineLevel="0" collapsed="false">
      <c r="A1" s="1" t="s">
        <v>141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142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143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11" t="s">
        <v>144</v>
      </c>
      <c r="B5" s="36" t="n">
        <f aca="false">FC_AMT/DF_FC</f>
        <v>7784761.08689861</v>
      </c>
    </row>
    <row r="7" customFormat="false" ht="15" hidden="false" customHeight="false" outlineLevel="0" collapsed="false">
      <c r="A7" s="7" t="s">
        <v>145</v>
      </c>
      <c r="B7" s="7"/>
      <c r="C7" s="7"/>
      <c r="D7" s="7"/>
      <c r="E7" s="7"/>
      <c r="F7" s="7"/>
    </row>
    <row r="8" customFormat="false" ht="15" hidden="false" customHeight="false" outlineLevel="0" collapsed="false">
      <c r="A8" s="11" t="s">
        <v>146</v>
      </c>
      <c r="B8" s="31" t="n">
        <f aca="false">B5*S0_in</f>
        <v>8846602.49915158</v>
      </c>
    </row>
    <row r="10" customFormat="false" ht="15" hidden="false" customHeight="false" outlineLevel="0" collapsed="false">
      <c r="A10" s="7" t="s">
        <v>147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5" t="s">
        <v>148</v>
      </c>
      <c r="B11" s="34" t="n">
        <f aca="false">B8*DF_USD</f>
        <v>9217938.63905347</v>
      </c>
    </row>
    <row r="12" customFormat="false" ht="15" hidden="false" customHeight="false" outlineLevel="0" collapsed="false">
      <c r="A12" s="35" t="s">
        <v>149</v>
      </c>
    </row>
    <row r="13" customFormat="false" ht="22.35" hidden="false" customHeight="true" outlineLevel="0" collapsed="false">
      <c r="A13" s="37" t="s">
        <v>150</v>
      </c>
      <c r="B13" s="37"/>
      <c r="C13" s="37"/>
      <c r="D13" s="37"/>
    </row>
    <row r="15" customFormat="false" ht="15" hidden="false" customHeight="false" outlineLevel="0" collapsed="false">
      <c r="A15" s="7" t="s">
        <v>151</v>
      </c>
      <c r="B15" s="7"/>
      <c r="C15" s="7"/>
      <c r="D15" s="7"/>
      <c r="E15" s="7"/>
      <c r="F15" s="7"/>
    </row>
    <row r="16" customFormat="false" ht="15" hidden="false" customHeight="false" outlineLevel="0" collapsed="false">
      <c r="A16" s="11" t="s">
        <v>152</v>
      </c>
      <c r="B16" s="38" t="b">
        <f aca="false">ABS(USD_MM-USD_FWD)&lt;=0.0005*ABS(USD_FWD)</f>
        <v>1</v>
      </c>
    </row>
    <row r="17" customFormat="false" ht="15" hidden="false" customHeight="false" outlineLevel="0" collapsed="false">
      <c r="A17" s="11" t="s">
        <v>153</v>
      </c>
      <c r="B17" s="39" t="str">
        <f aca="false">IF(B16,"PASS","FAIL")</f>
        <v>PASS</v>
      </c>
    </row>
  </sheetData>
  <mergeCells count="7">
    <mergeCell ref="A1:F1"/>
    <mergeCell ref="A2:F2"/>
    <mergeCell ref="A4:F4"/>
    <mergeCell ref="A7:F7"/>
    <mergeCell ref="A10:F10"/>
    <mergeCell ref="A13:D13"/>
    <mergeCell ref="A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6"/>
  </cols>
  <sheetData>
    <row r="1" customFormat="false" ht="25.5" hidden="false" customHeight="true" outlineLevel="0" collapsed="false">
      <c r="A1" s="1" t="s">
        <v>154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156</v>
      </c>
      <c r="B4" s="7"/>
      <c r="C4" s="7"/>
      <c r="D4" s="7"/>
      <c r="E4" s="7"/>
      <c r="F4" s="7"/>
    </row>
    <row r="5" customFormat="false" ht="15" hidden="false" customHeight="false" outlineLevel="0" collapsed="false">
      <c r="A5" s="11" t="s">
        <v>157</v>
      </c>
      <c r="B5" s="33" t="n">
        <f aca="false">K_PUT</f>
        <v>1.1364</v>
      </c>
    </row>
    <row r="6" customFormat="false" ht="15" hidden="false" customHeight="false" outlineLevel="0" collapsed="false">
      <c r="A6" s="11" t="s">
        <v>158</v>
      </c>
      <c r="B6" s="33" t="n">
        <f aca="false">PREM_PUT</f>
        <v>0.018</v>
      </c>
    </row>
    <row r="7" customFormat="false" ht="15" hidden="false" customHeight="false" outlineLevel="0" collapsed="false">
      <c r="A7" s="5" t="s">
        <v>159</v>
      </c>
      <c r="B7" s="34" t="n">
        <f aca="false">PREM_PUT*FC_AMT</f>
        <v>144000</v>
      </c>
    </row>
    <row r="8" customFormat="false" ht="15" hidden="false" customHeight="false" outlineLevel="0" collapsed="false">
      <c r="A8" s="5" t="s">
        <v>160</v>
      </c>
      <c r="B8" s="34" t="n">
        <f aca="false">FV_PREM_PUT</f>
        <v>-150044.4</v>
      </c>
    </row>
    <row r="10" customFormat="false" ht="15" hidden="false" customHeight="false" outlineLevel="0" collapsed="false">
      <c r="A10" s="5" t="s">
        <v>161</v>
      </c>
    </row>
    <row r="11" customFormat="false" ht="15" hidden="false" customHeight="false" outlineLevel="0" collapsed="false">
      <c r="A11" s="12" t="s">
        <v>4</v>
      </c>
      <c r="B11" s="12" t="s">
        <v>162</v>
      </c>
      <c r="C11" s="40" t="s">
        <v>163</v>
      </c>
      <c r="D11" s="40"/>
    </row>
    <row r="12" customFormat="false" ht="15" hidden="false" customHeight="false" outlineLevel="0" collapsed="false">
      <c r="A12" s="11" t="s">
        <v>164</v>
      </c>
      <c r="B12" s="33" t="n">
        <f aca="false">S0_in*(1+(-0.05))</f>
        <v>1.07958</v>
      </c>
      <c r="C12" s="31" t="n">
        <f aca="false">MAX(B12,K_PUT)*FC_AMT+FV_PREM_PUT</f>
        <v>8941155.6</v>
      </c>
      <c r="D12" s="31"/>
    </row>
    <row r="13" customFormat="false" ht="15" hidden="false" customHeight="false" outlineLevel="0" collapsed="false">
      <c r="A13" s="11" t="s">
        <v>165</v>
      </c>
      <c r="B13" s="33" t="n">
        <f aca="false">S0_in*(1+(-0.025))</f>
        <v>1.10799</v>
      </c>
      <c r="C13" s="31" t="n">
        <f aca="false">MAX(B13,K_PUT)*FC_AMT+FV_PREM_PUT</f>
        <v>8941155.6</v>
      </c>
      <c r="D13" s="31"/>
    </row>
    <row r="14" customFormat="false" ht="15" hidden="false" customHeight="false" outlineLevel="0" collapsed="false">
      <c r="A14" s="11" t="s">
        <v>166</v>
      </c>
      <c r="B14" s="33" t="n">
        <f aca="false">S0_in*(1+(0))</f>
        <v>1.1364</v>
      </c>
      <c r="C14" s="31" t="n">
        <f aca="false">MAX(B14,K_PUT)*FC_AMT+FV_PREM_PUT</f>
        <v>8941155.6</v>
      </c>
      <c r="D14" s="31"/>
    </row>
    <row r="15" customFormat="false" ht="15" hidden="false" customHeight="false" outlineLevel="0" collapsed="false">
      <c r="A15" s="11" t="s">
        <v>167</v>
      </c>
      <c r="B15" s="33" t="n">
        <f aca="false">S0_in*(1+(0.025))</f>
        <v>1.16481</v>
      </c>
      <c r="C15" s="31" t="n">
        <f aca="false">MAX(B15,K_PUT)*FC_AMT+FV_PREM_PUT</f>
        <v>9168435.6</v>
      </c>
      <c r="D15" s="31"/>
    </row>
    <row r="16" customFormat="false" ht="15" hidden="false" customHeight="false" outlineLevel="0" collapsed="false">
      <c r="A16" s="11" t="s">
        <v>168</v>
      </c>
      <c r="B16" s="33" t="n">
        <f aca="false">S0_in*(1+(0.05))</f>
        <v>1.19322</v>
      </c>
      <c r="C16" s="31" t="n">
        <f aca="false">MAX(B16,K_PUT)*FC_AMT+FV_PREM_PUT</f>
        <v>9395715.6</v>
      </c>
      <c r="D16" s="31"/>
    </row>
    <row r="18" customFormat="false" ht="15" hidden="false" customHeight="false" outlineLevel="0" collapsed="false">
      <c r="A18" s="7" t="s">
        <v>169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11" t="s">
        <v>170</v>
      </c>
      <c r="B19" s="33" t="n">
        <f aca="false">K_CALL</f>
        <v>1.1364</v>
      </c>
    </row>
    <row r="20" customFormat="false" ht="15" hidden="false" customHeight="false" outlineLevel="0" collapsed="false">
      <c r="A20" s="11" t="s">
        <v>171</v>
      </c>
      <c r="B20" s="33" t="n">
        <f aca="false">PREM_CALL</f>
        <v>0.0175</v>
      </c>
    </row>
    <row r="21" customFormat="false" ht="15" hidden="false" customHeight="false" outlineLevel="0" collapsed="false">
      <c r="A21" s="5" t="s">
        <v>172</v>
      </c>
      <c r="B21" s="34" t="n">
        <f aca="false">PREM_CALL*FC_AMT</f>
        <v>140000</v>
      </c>
    </row>
    <row r="22" customFormat="false" ht="15" hidden="false" customHeight="false" outlineLevel="0" collapsed="false">
      <c r="A22" s="5" t="s">
        <v>173</v>
      </c>
      <c r="B22" s="34" t="n">
        <f aca="false">FV_PREM_CALL</f>
        <v>-145876.5</v>
      </c>
    </row>
    <row r="24" customFormat="false" ht="15" hidden="false" customHeight="false" outlineLevel="0" collapsed="false">
      <c r="A24" s="5" t="s">
        <v>174</v>
      </c>
    </row>
    <row r="25" customFormat="false" ht="15" hidden="false" customHeight="false" outlineLevel="0" collapsed="false">
      <c r="A25" s="12" t="s">
        <v>4</v>
      </c>
      <c r="B25" s="12" t="s">
        <v>162</v>
      </c>
      <c r="C25" s="40" t="s">
        <v>175</v>
      </c>
      <c r="D25" s="40"/>
    </row>
    <row r="26" customFormat="false" ht="15" hidden="false" customHeight="false" outlineLevel="0" collapsed="false">
      <c r="A26" s="11" t="s">
        <v>164</v>
      </c>
      <c r="B26" s="33" t="n">
        <f aca="false">S0_in*(1+(-0.05))</f>
        <v>1.07958</v>
      </c>
      <c r="C26" s="31" t="n">
        <f aca="false">MIN(B26,K_CALL)*FC_AMT-FV_PREM_CALL</f>
        <v>8782516.5</v>
      </c>
      <c r="D26" s="31"/>
    </row>
    <row r="27" customFormat="false" ht="15" hidden="false" customHeight="false" outlineLevel="0" collapsed="false">
      <c r="A27" s="11" t="s">
        <v>165</v>
      </c>
      <c r="B27" s="33" t="n">
        <f aca="false">S0_in*(1+(-0.025))</f>
        <v>1.10799</v>
      </c>
      <c r="C27" s="31" t="n">
        <f aca="false">MIN(B27,K_CALL)*FC_AMT-FV_PREM_CALL</f>
        <v>9009796.5</v>
      </c>
      <c r="D27" s="31"/>
    </row>
    <row r="28" customFormat="false" ht="15" hidden="false" customHeight="false" outlineLevel="0" collapsed="false">
      <c r="A28" s="11" t="s">
        <v>166</v>
      </c>
      <c r="B28" s="33" t="n">
        <f aca="false">S0_in*(1+(0))</f>
        <v>1.1364</v>
      </c>
      <c r="C28" s="31" t="n">
        <f aca="false">MIN(B28,K_CALL)*FC_AMT-FV_PREM_CALL</f>
        <v>9237076.5</v>
      </c>
      <c r="D28" s="31"/>
    </row>
    <row r="29" customFormat="false" ht="15" hidden="false" customHeight="false" outlineLevel="0" collapsed="false">
      <c r="A29" s="11" t="s">
        <v>167</v>
      </c>
      <c r="B29" s="33" t="n">
        <f aca="false">S0_in*(1+(0.025))</f>
        <v>1.16481</v>
      </c>
      <c r="C29" s="31" t="n">
        <f aca="false">MIN(B29,K_CALL)*FC_AMT-FV_PREM_CALL</f>
        <v>9237076.5</v>
      </c>
      <c r="D29" s="31"/>
    </row>
    <row r="30" customFormat="false" ht="15" hidden="false" customHeight="false" outlineLevel="0" collapsed="false">
      <c r="A30" s="11" t="s">
        <v>168</v>
      </c>
      <c r="B30" s="33" t="n">
        <f aca="false">S0_in*(1+(0.05))</f>
        <v>1.19322</v>
      </c>
      <c r="C30" s="31" t="n">
        <f aca="false">MIN(B30,K_CALL)*FC_AMT-FV_PREM_CALL</f>
        <v>9237076.5</v>
      </c>
      <c r="D30" s="31"/>
    </row>
  </sheetData>
  <mergeCells count="16">
    <mergeCell ref="A1:F1"/>
    <mergeCell ref="A2:F2"/>
    <mergeCell ref="A4:F4"/>
    <mergeCell ref="C11:D11"/>
    <mergeCell ref="C12:D12"/>
    <mergeCell ref="C13:D13"/>
    <mergeCell ref="C14:D14"/>
    <mergeCell ref="C15:D15"/>
    <mergeCell ref="C16:D16"/>
    <mergeCell ref="A18:F18"/>
    <mergeCell ref="C25:D25"/>
    <mergeCell ref="C26:D26"/>
    <mergeCell ref="C27:D27"/>
    <mergeCell ref="C28:D28"/>
    <mergeCell ref="C29:D29"/>
    <mergeCell ref="C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6" min="3" style="0" width="15"/>
    <col collapsed="false" customWidth="true" hidden="false" outlineLevel="0" max="9" min="7" style="0" width="14"/>
    <col collapsed="false" customWidth="true" hidden="false" outlineLevel="0" max="11" min="10" style="0" width="18"/>
  </cols>
  <sheetData>
    <row r="1" customFormat="false" ht="25.5" hidden="false" customHeight="true" outlineLevel="0" collapsed="false">
      <c r="A1" s="1" t="s">
        <v>176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177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41" t="s">
        <v>178</v>
      </c>
      <c r="B4" s="41" t="s">
        <v>162</v>
      </c>
      <c r="C4" s="41" t="s">
        <v>179</v>
      </c>
      <c r="D4" s="41" t="s">
        <v>180</v>
      </c>
      <c r="E4" s="41" t="s">
        <v>181</v>
      </c>
      <c r="F4" s="41" t="s">
        <v>182</v>
      </c>
      <c r="G4" s="41" t="s">
        <v>183</v>
      </c>
      <c r="H4" s="41" t="s">
        <v>184</v>
      </c>
      <c r="I4" s="41" t="s">
        <v>185</v>
      </c>
      <c r="J4" s="41" t="s">
        <v>186</v>
      </c>
      <c r="K4" s="41" t="s">
        <v>187</v>
      </c>
    </row>
    <row r="5" customFormat="false" ht="15" hidden="false" customHeight="false" outlineLevel="0" collapsed="false">
      <c r="A5" s="42" t="n">
        <f aca="false">ROW()-10</f>
        <v>-5</v>
      </c>
      <c r="B5" s="33" t="n">
        <f aca="false">S0_in*(1+A5*STEP_FRAC)</f>
        <v>1.07958</v>
      </c>
      <c r="C5" s="31" t="n">
        <f aca="false">B5*FC_AMT</f>
        <v>8636640</v>
      </c>
      <c r="D5" s="31" t="n">
        <f aca="false">USD_FWD</f>
        <v>9217600</v>
      </c>
      <c r="E5" s="31" t="n">
        <f aca="false">USD_MM</f>
        <v>9217938.63905347</v>
      </c>
      <c r="F5" s="31" t="n">
        <f aca="false">MAX(B5,K_PUT)*FC_AMT+FV_PREM_PUT</f>
        <v>8941155.6</v>
      </c>
      <c r="G5" s="31" t="n">
        <f aca="false">D5-C5</f>
        <v>580960</v>
      </c>
      <c r="H5" s="31" t="n">
        <f aca="false">E5-C5</f>
        <v>581298.639053473</v>
      </c>
      <c r="I5" s="31" t="n">
        <f aca="false">F5-C5</f>
        <v>304515.6</v>
      </c>
      <c r="J5" s="43" t="str">
        <f aca="false">INDEX({"No Hedge","Forward","Money Market","Option (Put)"},MATCH(MAX(C5:F5),C5:F5,0))</f>
        <v>Money Market</v>
      </c>
      <c r="K5" s="43" t="str">
        <f aca="false">INDEX({"Forward","Money Market","Option (Put)"},MATCH(MAX(D5:F5),D5:F5,0))</f>
        <v>Money Market</v>
      </c>
    </row>
    <row r="6" customFormat="false" ht="15" hidden="false" customHeight="false" outlineLevel="0" collapsed="false">
      <c r="A6" s="42" t="n">
        <f aca="false">ROW()-10</f>
        <v>-4</v>
      </c>
      <c r="B6" s="33" t="n">
        <f aca="false">S0_in*(1+A6*STEP_FRAC)</f>
        <v>1.090944</v>
      </c>
      <c r="C6" s="31" t="n">
        <f aca="false">B6*FC_AMT</f>
        <v>8727552</v>
      </c>
      <c r="D6" s="31" t="n">
        <f aca="false">USD_FWD</f>
        <v>9217600</v>
      </c>
      <c r="E6" s="31" t="n">
        <f aca="false">USD_MM</f>
        <v>9217938.63905347</v>
      </c>
      <c r="F6" s="31" t="n">
        <f aca="false">MAX(B6,K_PUT)*FC_AMT+FV_PREM_PUT</f>
        <v>8941155.6</v>
      </c>
      <c r="G6" s="31" t="n">
        <f aca="false">D6-C6</f>
        <v>490047.999999998</v>
      </c>
      <c r="H6" s="31" t="n">
        <f aca="false">E6-C6</f>
        <v>490386.639053471</v>
      </c>
      <c r="I6" s="31" t="n">
        <f aca="false">F6-C6</f>
        <v>213603.599999998</v>
      </c>
      <c r="J6" s="43" t="str">
        <f aca="false">INDEX({"No Hedge","Forward","Money Market","Option (Put)"},MATCH(MAX(C6:F6),C6:F6,0))</f>
        <v>Money Market</v>
      </c>
      <c r="K6" s="43" t="str">
        <f aca="false">INDEX({"Forward","Money Market","Option (Put)"},MATCH(MAX(D6:F6),D6:F6,0))</f>
        <v>Money Market</v>
      </c>
    </row>
    <row r="7" customFormat="false" ht="15" hidden="false" customHeight="false" outlineLevel="0" collapsed="false">
      <c r="A7" s="42" t="n">
        <f aca="false">ROW()-10</f>
        <v>-3</v>
      </c>
      <c r="B7" s="33" t="n">
        <f aca="false">S0_in*(1+A7*STEP_FRAC)</f>
        <v>1.102308</v>
      </c>
      <c r="C7" s="31" t="n">
        <f aca="false">B7*FC_AMT</f>
        <v>8818464</v>
      </c>
      <c r="D7" s="31" t="n">
        <f aca="false">USD_FWD</f>
        <v>9217600</v>
      </c>
      <c r="E7" s="31" t="n">
        <f aca="false">USD_MM</f>
        <v>9217938.63905347</v>
      </c>
      <c r="F7" s="31" t="n">
        <f aca="false">MAX(B7,K_PUT)*FC_AMT+FV_PREM_PUT</f>
        <v>8941155.6</v>
      </c>
      <c r="G7" s="31" t="n">
        <f aca="false">D7-C7</f>
        <v>399136</v>
      </c>
      <c r="H7" s="31" t="n">
        <f aca="false">E7-C7</f>
        <v>399474.639053473</v>
      </c>
      <c r="I7" s="31" t="n">
        <f aca="false">F7-C7</f>
        <v>122691.6</v>
      </c>
      <c r="J7" s="43" t="str">
        <f aca="false">INDEX({"No Hedge","Forward","Money Market","Option (Put)"},MATCH(MAX(C7:F7),C7:F7,0))</f>
        <v>Money Market</v>
      </c>
      <c r="K7" s="43" t="str">
        <f aca="false">INDEX({"Forward","Money Market","Option (Put)"},MATCH(MAX(D7:F7),D7:F7,0))</f>
        <v>Money Market</v>
      </c>
    </row>
    <row r="8" customFormat="false" ht="15" hidden="false" customHeight="false" outlineLevel="0" collapsed="false">
      <c r="A8" s="42" t="n">
        <f aca="false">ROW()-10</f>
        <v>-2</v>
      </c>
      <c r="B8" s="33" t="n">
        <f aca="false">S0_in*(1+A8*STEP_FRAC)</f>
        <v>1.113672</v>
      </c>
      <c r="C8" s="31" t="n">
        <f aca="false">B8*FC_AMT</f>
        <v>8909376</v>
      </c>
      <c r="D8" s="31" t="n">
        <f aca="false">USD_FWD</f>
        <v>9217600</v>
      </c>
      <c r="E8" s="31" t="n">
        <f aca="false">USD_MM</f>
        <v>9217938.63905347</v>
      </c>
      <c r="F8" s="31" t="n">
        <f aca="false">MAX(B8,K_PUT)*FC_AMT+FV_PREM_PUT</f>
        <v>8941155.6</v>
      </c>
      <c r="G8" s="31" t="n">
        <f aca="false">D8-C8</f>
        <v>308224</v>
      </c>
      <c r="H8" s="31" t="n">
        <f aca="false">E8-C8</f>
        <v>308562.639053473</v>
      </c>
      <c r="I8" s="31" t="n">
        <f aca="false">F8-C8</f>
        <v>31779.5999999996</v>
      </c>
      <c r="J8" s="43" t="str">
        <f aca="false">INDEX({"No Hedge","Forward","Money Market","Option (Put)"},MATCH(MAX(C8:F8),C8:F8,0))</f>
        <v>Money Market</v>
      </c>
      <c r="K8" s="43" t="str">
        <f aca="false">INDEX({"Forward","Money Market","Option (Put)"},MATCH(MAX(D8:F8),D8:F8,0))</f>
        <v>Money Market</v>
      </c>
    </row>
    <row r="9" customFormat="false" ht="15" hidden="false" customHeight="false" outlineLevel="0" collapsed="false">
      <c r="A9" s="42" t="n">
        <f aca="false">ROW()-10</f>
        <v>-1</v>
      </c>
      <c r="B9" s="33" t="n">
        <f aca="false">S0_in*(1+A9*STEP_FRAC)</f>
        <v>1.125036</v>
      </c>
      <c r="C9" s="31" t="n">
        <f aca="false">B9*FC_AMT</f>
        <v>9000288</v>
      </c>
      <c r="D9" s="31" t="n">
        <f aca="false">USD_FWD</f>
        <v>9217600</v>
      </c>
      <c r="E9" s="31" t="n">
        <f aca="false">USD_MM</f>
        <v>9217938.63905347</v>
      </c>
      <c r="F9" s="31" t="n">
        <f aca="false">MAX(B9,K_PUT)*FC_AMT+FV_PREM_PUT</f>
        <v>8941155.6</v>
      </c>
      <c r="G9" s="31" t="n">
        <f aca="false">D9-C9</f>
        <v>217311.999999998</v>
      </c>
      <c r="H9" s="31" t="n">
        <f aca="false">E9-C9</f>
        <v>217650.639053471</v>
      </c>
      <c r="I9" s="31" t="n">
        <f aca="false">F9-C9</f>
        <v>-59132.4000000022</v>
      </c>
      <c r="J9" s="43" t="str">
        <f aca="false">INDEX({"No Hedge","Forward","Money Market","Option (Put)"},MATCH(MAX(C9:F9),C9:F9,0))</f>
        <v>Money Market</v>
      </c>
      <c r="K9" s="43" t="str">
        <f aca="false">INDEX({"Forward","Money Market","Option (Put)"},MATCH(MAX(D9:F9),D9:F9,0))</f>
        <v>Money Market</v>
      </c>
    </row>
    <row r="10" customFormat="false" ht="15" hidden="false" customHeight="false" outlineLevel="0" collapsed="false">
      <c r="A10" s="42" t="n">
        <f aca="false">ROW()-10</f>
        <v>0</v>
      </c>
      <c r="B10" s="33" t="n">
        <f aca="false">S0_in*(1+A10*STEP_FRAC)</f>
        <v>1.1364</v>
      </c>
      <c r="C10" s="31" t="n">
        <f aca="false">B10*FC_AMT</f>
        <v>9091200</v>
      </c>
      <c r="D10" s="31" t="n">
        <f aca="false">USD_FWD</f>
        <v>9217600</v>
      </c>
      <c r="E10" s="31" t="n">
        <f aca="false">USD_MM</f>
        <v>9217938.63905347</v>
      </c>
      <c r="F10" s="31" t="n">
        <f aca="false">MAX(B10,K_PUT)*FC_AMT+FV_PREM_PUT</f>
        <v>8941155.6</v>
      </c>
      <c r="G10" s="31" t="n">
        <f aca="false">D10-C10</f>
        <v>126400</v>
      </c>
      <c r="H10" s="31" t="n">
        <f aca="false">E10-C10</f>
        <v>126738.639053473</v>
      </c>
      <c r="I10" s="31" t="n">
        <f aca="false">F10-C10</f>
        <v>-150044.4</v>
      </c>
      <c r="J10" s="43" t="str">
        <f aca="false">INDEX({"No Hedge","Forward","Money Market","Option (Put)"},MATCH(MAX(C10:F10),C10:F10,0))</f>
        <v>Money Market</v>
      </c>
      <c r="K10" s="43" t="str">
        <f aca="false">INDEX({"Forward","Money Market","Option (Put)"},MATCH(MAX(D10:F10),D10:F10,0))</f>
        <v>Money Market</v>
      </c>
    </row>
    <row r="11" customFormat="false" ht="15" hidden="false" customHeight="false" outlineLevel="0" collapsed="false">
      <c r="A11" s="42" t="n">
        <f aca="false">ROW()-10</f>
        <v>1</v>
      </c>
      <c r="B11" s="33" t="n">
        <f aca="false">S0_in*(1+A11*STEP_FRAC)</f>
        <v>1.147764</v>
      </c>
      <c r="C11" s="31" t="n">
        <f aca="false">B11*FC_AMT</f>
        <v>9182112</v>
      </c>
      <c r="D11" s="31" t="n">
        <f aca="false">USD_FWD</f>
        <v>9217600</v>
      </c>
      <c r="E11" s="31" t="n">
        <f aca="false">USD_MM</f>
        <v>9217938.63905347</v>
      </c>
      <c r="F11" s="31" t="n">
        <f aca="false">MAX(B11,K_PUT)*FC_AMT+FV_PREM_PUT</f>
        <v>9032067.6</v>
      </c>
      <c r="G11" s="31" t="n">
        <f aca="false">D11-C11</f>
        <v>35488</v>
      </c>
      <c r="H11" s="31" t="n">
        <f aca="false">E11-C11</f>
        <v>35826.6390534733</v>
      </c>
      <c r="I11" s="31" t="n">
        <f aca="false">F11-C11</f>
        <v>-150044.4</v>
      </c>
      <c r="J11" s="43" t="str">
        <f aca="false">INDEX({"No Hedge","Forward","Money Market","Option (Put)"},MATCH(MAX(C11:F11),C11:F11,0))</f>
        <v>Money Market</v>
      </c>
      <c r="K11" s="43" t="str">
        <f aca="false">INDEX({"Forward","Money Market","Option (Put)"},MATCH(MAX(D11:F11),D11:F11,0))</f>
        <v>Money Market</v>
      </c>
    </row>
    <row r="12" customFormat="false" ht="15" hidden="false" customHeight="false" outlineLevel="0" collapsed="false">
      <c r="A12" s="42" t="n">
        <f aca="false">ROW()-10</f>
        <v>2</v>
      </c>
      <c r="B12" s="33" t="n">
        <f aca="false">S0_in*(1+A12*STEP_FRAC)</f>
        <v>1.159128</v>
      </c>
      <c r="C12" s="31" t="n">
        <f aca="false">B12*FC_AMT</f>
        <v>9273024</v>
      </c>
      <c r="D12" s="31" t="n">
        <f aca="false">USD_FWD</f>
        <v>9217600</v>
      </c>
      <c r="E12" s="31" t="n">
        <f aca="false">USD_MM</f>
        <v>9217938.63905347</v>
      </c>
      <c r="F12" s="31" t="n">
        <f aca="false">MAX(B12,K_PUT)*FC_AMT+FV_PREM_PUT</f>
        <v>9122979.6</v>
      </c>
      <c r="G12" s="31" t="n">
        <f aca="false">D12-C12</f>
        <v>-55424.0000000019</v>
      </c>
      <c r="H12" s="31" t="n">
        <f aca="false">E12-C12</f>
        <v>-55085.3609465286</v>
      </c>
      <c r="I12" s="31" t="n">
        <f aca="false">F12-C12</f>
        <v>-150044.4</v>
      </c>
      <c r="J12" s="43" t="str">
        <f aca="false">INDEX({"No Hedge","Forward","Money Market","Option (Put)"},MATCH(MAX(C12:F12),C12:F12,0))</f>
        <v>No Hedge</v>
      </c>
      <c r="K12" s="43" t="str">
        <f aca="false">INDEX({"Forward","Money Market","Option (Put)"},MATCH(MAX(D12:F12),D12:F12,0))</f>
        <v>Money Market</v>
      </c>
    </row>
    <row r="13" customFormat="false" ht="15" hidden="false" customHeight="false" outlineLevel="0" collapsed="false">
      <c r="A13" s="42" t="n">
        <f aca="false">ROW()-10</f>
        <v>3</v>
      </c>
      <c r="B13" s="33" t="n">
        <f aca="false">S0_in*(1+A13*STEP_FRAC)</f>
        <v>1.170492</v>
      </c>
      <c r="C13" s="31" t="n">
        <f aca="false">B13*FC_AMT</f>
        <v>9363936</v>
      </c>
      <c r="D13" s="31" t="n">
        <f aca="false">USD_FWD</f>
        <v>9217600</v>
      </c>
      <c r="E13" s="31" t="n">
        <f aca="false">USD_MM</f>
        <v>9217938.63905347</v>
      </c>
      <c r="F13" s="31" t="n">
        <f aca="false">MAX(B13,K_PUT)*FC_AMT+FV_PREM_PUT</f>
        <v>9213891.6</v>
      </c>
      <c r="G13" s="31" t="n">
        <f aca="false">D13-C13</f>
        <v>-146336</v>
      </c>
      <c r="H13" s="31" t="n">
        <f aca="false">E13-C13</f>
        <v>-145997.360946527</v>
      </c>
      <c r="I13" s="31" t="n">
        <f aca="false">F13-C13</f>
        <v>-150044.4</v>
      </c>
      <c r="J13" s="43" t="str">
        <f aca="false">INDEX({"No Hedge","Forward","Money Market","Option (Put)"},MATCH(MAX(C13:F13),C13:F13,0))</f>
        <v>No Hedge</v>
      </c>
      <c r="K13" s="43" t="str">
        <f aca="false">INDEX({"Forward","Money Market","Option (Put)"},MATCH(MAX(D13:F13),D13:F13,0))</f>
        <v>Money Market</v>
      </c>
    </row>
    <row r="14" customFormat="false" ht="15" hidden="false" customHeight="false" outlineLevel="0" collapsed="false">
      <c r="A14" s="42" t="n">
        <f aca="false">ROW()-10</f>
        <v>4</v>
      </c>
      <c r="B14" s="33" t="n">
        <f aca="false">S0_in*(1+A14*STEP_FRAC)</f>
        <v>1.181856</v>
      </c>
      <c r="C14" s="31" t="n">
        <f aca="false">B14*FC_AMT</f>
        <v>9454848</v>
      </c>
      <c r="D14" s="31" t="n">
        <f aca="false">USD_FWD</f>
        <v>9217600</v>
      </c>
      <c r="E14" s="31" t="n">
        <f aca="false">USD_MM</f>
        <v>9217938.63905347</v>
      </c>
      <c r="F14" s="31" t="n">
        <f aca="false">MAX(B14,K_PUT)*FC_AMT+FV_PREM_PUT</f>
        <v>9304803.6</v>
      </c>
      <c r="G14" s="31" t="n">
        <f aca="false">D14-C14</f>
        <v>-237248</v>
      </c>
      <c r="H14" s="31" t="n">
        <f aca="false">E14-C14</f>
        <v>-236909.360946527</v>
      </c>
      <c r="I14" s="31" t="n">
        <f aca="false">F14-C14</f>
        <v>-150044.4</v>
      </c>
      <c r="J14" s="43" t="str">
        <f aca="false">INDEX({"No Hedge","Forward","Money Market","Option (Put)"},MATCH(MAX(C14:F14),C14:F14,0))</f>
        <v>No Hedge</v>
      </c>
      <c r="K14" s="43" t="str">
        <f aca="false">INDEX({"Forward","Money Market","Option (Put)"},MATCH(MAX(D14:F14),D14:F14,0))</f>
        <v>Option (Put)</v>
      </c>
    </row>
    <row r="15" customFormat="false" ht="15" hidden="false" customHeight="false" outlineLevel="0" collapsed="false">
      <c r="A15" s="42" t="n">
        <f aca="false">ROW()-10</f>
        <v>5</v>
      </c>
      <c r="B15" s="33" t="n">
        <f aca="false">S0_in*(1+A15*STEP_FRAC)</f>
        <v>1.19322</v>
      </c>
      <c r="C15" s="31" t="n">
        <f aca="false">B15*FC_AMT</f>
        <v>9545760</v>
      </c>
      <c r="D15" s="31" t="n">
        <f aca="false">USD_FWD</f>
        <v>9217600</v>
      </c>
      <c r="E15" s="31" t="n">
        <f aca="false">USD_MM</f>
        <v>9217938.63905347</v>
      </c>
      <c r="F15" s="31" t="n">
        <f aca="false">MAX(B15,K_PUT)*FC_AMT+FV_PREM_PUT</f>
        <v>9395715.6</v>
      </c>
      <c r="G15" s="31" t="n">
        <f aca="false">D15-C15</f>
        <v>-328160.000000002</v>
      </c>
      <c r="H15" s="31" t="n">
        <f aca="false">E15-C15</f>
        <v>-327821.360946529</v>
      </c>
      <c r="I15" s="31" t="n">
        <f aca="false">F15-C15</f>
        <v>-150044.4</v>
      </c>
      <c r="J15" s="43" t="str">
        <f aca="false">INDEX({"No Hedge","Forward","Money Market","Option (Put)"},MATCH(MAX(C15:F15),C15:F15,0))</f>
        <v>No Hedge</v>
      </c>
      <c r="K15" s="43" t="str">
        <f aca="false">INDEX({"Forward","Money Market","Option (Put)"},MATCH(MAX(D15:F15),D15:F15,0))</f>
        <v>Option (Put)</v>
      </c>
    </row>
    <row r="17" customFormat="false" ht="15" hidden="false" customHeight="false" outlineLevel="0" collapsed="false">
      <c r="A17" s="7" t="s">
        <v>188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5" t="s">
        <v>189</v>
      </c>
      <c r="B18" s="34" t="n">
        <f aca="false">MIN(F5:F15)</f>
        <v>8941155.6</v>
      </c>
    </row>
    <row r="19" customFormat="false" ht="15" hidden="false" customHeight="false" outlineLevel="0" collapsed="false">
      <c r="A19" s="11" t="s">
        <v>190</v>
      </c>
      <c r="B19" s="34" t="n">
        <f aca="false">C10</f>
        <v>9091200</v>
      </c>
    </row>
    <row r="20" customFormat="false" ht="15" hidden="false" customHeight="false" outlineLevel="0" collapsed="false">
      <c r="A20" s="11" t="s">
        <v>191</v>
      </c>
      <c r="B20" s="34" t="n">
        <f aca="false">D10</f>
        <v>9217600</v>
      </c>
    </row>
    <row r="21" customFormat="false" ht="15" hidden="false" customHeight="false" outlineLevel="0" collapsed="false">
      <c r="A21" s="11" t="s">
        <v>192</v>
      </c>
      <c r="B21" s="34" t="n">
        <f aca="false">E10</f>
        <v>9217938.63905347</v>
      </c>
    </row>
    <row r="22" customFormat="false" ht="15" hidden="false" customHeight="false" outlineLevel="0" collapsed="false">
      <c r="A22" s="11" t="s">
        <v>193</v>
      </c>
      <c r="B22" s="34" t="n">
        <f aca="false">F10</f>
        <v>8941155.6</v>
      </c>
    </row>
    <row r="24" customFormat="false" ht="15" hidden="false" customHeight="false" outlineLevel="0" collapsed="false">
      <c r="A24" s="7" t="s">
        <v>194</v>
      </c>
      <c r="B24" s="7"/>
      <c r="C24" s="7"/>
      <c r="D24" s="7"/>
      <c r="E24" s="7"/>
      <c r="F24" s="7"/>
    </row>
    <row r="25" customFormat="false" ht="15" hidden="false" customHeight="false" outlineLevel="0" collapsed="false">
      <c r="A25" s="11" t="s">
        <v>195</v>
      </c>
      <c r="B25" s="38" t="b">
        <f aca="false">AND(ROUND(B5-S0_in*0.95,6)=0,ROUND(B15-S0_in*1.05,6)=0)</f>
        <v>1</v>
      </c>
    </row>
    <row r="26" customFormat="false" ht="15" hidden="false" customHeight="false" outlineLevel="0" collapsed="false">
      <c r="A26" s="11" t="s">
        <v>153</v>
      </c>
      <c r="B26" s="39" t="str">
        <f aca="false">IF(B25,"PASS","FAIL")</f>
        <v>PASS</v>
      </c>
    </row>
  </sheetData>
  <mergeCells count="4">
    <mergeCell ref="A1:F1"/>
    <mergeCell ref="A2:F2"/>
    <mergeCell ref="A17:F17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6"/>
    <col collapsed="false" customWidth="true" hidden="false" outlineLevel="0" max="4" min="3" style="0" width="4"/>
  </cols>
  <sheetData>
    <row r="1" customFormat="false" ht="25.5" hidden="false" customHeight="true" outlineLevel="0" collapsed="false">
      <c r="A1" s="1" t="s">
        <v>196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197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198</v>
      </c>
      <c r="B4" s="7"/>
    </row>
    <row r="5" customFormat="false" ht="27.75" hidden="false" customHeight="true" outlineLevel="0" collapsed="false">
      <c r="A5" s="44" t="s">
        <v>199</v>
      </c>
      <c r="B5" s="44"/>
    </row>
    <row r="6" customFormat="false" ht="27.75" hidden="false" customHeight="true" outlineLevel="0" collapsed="false">
      <c r="A6" s="44" t="s">
        <v>200</v>
      </c>
      <c r="B6" s="44"/>
    </row>
    <row r="7" customFormat="false" ht="27.75" hidden="false" customHeight="true" outlineLevel="0" collapsed="false">
      <c r="A7" s="44" t="s">
        <v>201</v>
      </c>
      <c r="B7" s="44"/>
    </row>
    <row r="8" customFormat="false" ht="27.75" hidden="false" customHeight="true" outlineLevel="0" collapsed="false">
      <c r="A8" s="44" t="s">
        <v>202</v>
      </c>
      <c r="B8" s="44"/>
    </row>
    <row r="9" customFormat="false" ht="27.75" hidden="false" customHeight="true" outlineLevel="0" collapsed="false">
      <c r="A9" s="44" t="s">
        <v>203</v>
      </c>
      <c r="B9" s="44"/>
    </row>
    <row r="10" customFormat="false" ht="27.75" hidden="false" customHeight="true" outlineLevel="0" collapsed="false">
      <c r="A10" s="44" t="s">
        <v>204</v>
      </c>
      <c r="B10" s="44"/>
    </row>
    <row r="11" customFormat="false" ht="27.75" hidden="false" customHeight="true" outlineLevel="0" collapsed="false">
      <c r="A11" s="44" t="s">
        <v>205</v>
      </c>
      <c r="B11" s="44"/>
    </row>
    <row r="12" customFormat="false" ht="27.75" hidden="false" customHeight="true" outlineLevel="0" collapsed="false">
      <c r="A12" s="44" t="s">
        <v>206</v>
      </c>
      <c r="B12" s="44"/>
    </row>
    <row r="13" customFormat="false" ht="27.75" hidden="false" customHeight="true" outlineLevel="0" collapsed="false">
      <c r="A13" s="44" t="s">
        <v>207</v>
      </c>
      <c r="B13" s="44"/>
    </row>
    <row r="14" customFormat="false" ht="27.75" hidden="false" customHeight="true" outlineLevel="0" collapsed="false">
      <c r="A14" s="44" t="s">
        <v>208</v>
      </c>
      <c r="B14" s="44"/>
    </row>
    <row r="16" customFormat="false" ht="15" hidden="false" customHeight="false" outlineLevel="0" collapsed="false">
      <c r="A16" s="7" t="s">
        <v>209</v>
      </c>
      <c r="B16" s="7"/>
    </row>
    <row r="17" customFormat="false" ht="15" hidden="false" customHeight="false" outlineLevel="0" collapsed="false">
      <c r="A17" s="12" t="s">
        <v>210</v>
      </c>
      <c r="B17" s="12" t="s">
        <v>153</v>
      </c>
    </row>
    <row r="18" customFormat="false" ht="15" hidden="false" customHeight="false" outlineLevel="0" collapsed="false">
      <c r="A18" s="11" t="s">
        <v>211</v>
      </c>
      <c r="B18" s="39" t="str">
        <f aca="false">'Money Market Hedge'!B17</f>
        <v>PASS</v>
      </c>
    </row>
    <row r="19" customFormat="false" ht="15" hidden="false" customHeight="false" outlineLevel="0" collapsed="false">
      <c r="A19" s="11" t="s">
        <v>212</v>
      </c>
      <c r="B19" s="38" t="b">
        <f aca="false">ROUND((MAX(K_PUT,K_PUT)*FC_AMT+FV_PREM_PUT)-(K_PUT*FC_AMT+FV_PREM_PUT),6)=0</f>
        <v>1</v>
      </c>
    </row>
    <row r="20" customFormat="false" ht="15" hidden="false" customHeight="false" outlineLevel="0" collapsed="false">
      <c r="A20" s="11" t="s">
        <v>153</v>
      </c>
      <c r="B20" s="39" t="str">
        <f aca="false">IF(B19,"PASS","FAIL")</f>
        <v>PASS</v>
      </c>
    </row>
    <row r="21" customFormat="false" ht="15" hidden="false" customHeight="false" outlineLevel="0" collapsed="false">
      <c r="A21" s="11" t="s">
        <v>213</v>
      </c>
      <c r="B21" s="39" t="str">
        <f aca="false">Sensitivity!B26</f>
        <v>PASS</v>
      </c>
    </row>
    <row r="23" customFormat="false" ht="15" hidden="false" customHeight="false" outlineLevel="0" collapsed="false">
      <c r="A23" s="7" t="s">
        <v>214</v>
      </c>
      <c r="B23" s="7"/>
    </row>
    <row r="24" customFormat="false" ht="25.5" hidden="false" customHeight="true" outlineLevel="0" collapsed="false">
      <c r="A24" s="44" t="s">
        <v>215</v>
      </c>
      <c r="B24" s="44"/>
    </row>
    <row r="25" customFormat="false" ht="25.5" hidden="false" customHeight="true" outlineLevel="0" collapsed="false">
      <c r="A25" s="44" t="s">
        <v>216</v>
      </c>
      <c r="B25" s="44"/>
    </row>
    <row r="26" customFormat="false" ht="25.5" hidden="false" customHeight="true" outlineLevel="0" collapsed="false">
      <c r="A26" s="44" t="s">
        <v>217</v>
      </c>
      <c r="B26" s="44"/>
    </row>
    <row r="27" customFormat="false" ht="25.5" hidden="false" customHeight="true" outlineLevel="0" collapsed="false">
      <c r="A27" s="44" t="s">
        <v>218</v>
      </c>
      <c r="B27" s="44"/>
    </row>
    <row r="28" customFormat="false" ht="25.5" hidden="false" customHeight="true" outlineLevel="0" collapsed="false">
      <c r="A28" s="44" t="s">
        <v>219</v>
      </c>
      <c r="B28" s="44"/>
    </row>
    <row r="29" customFormat="false" ht="25.5" hidden="false" customHeight="true" outlineLevel="0" collapsed="false">
      <c r="A29" s="44" t="s">
        <v>220</v>
      </c>
      <c r="B29" s="44"/>
    </row>
    <row r="30" customFormat="false" ht="25.5" hidden="false" customHeight="true" outlineLevel="0" collapsed="false">
      <c r="A30" s="44" t="s">
        <v>221</v>
      </c>
      <c r="B30" s="44"/>
    </row>
    <row r="32" customFormat="false" ht="15" hidden="false" customHeight="false" outlineLevel="0" collapsed="false">
      <c r="A32" s="7" t="s">
        <v>222</v>
      </c>
      <c r="B32" s="7"/>
    </row>
    <row r="33" customFormat="false" ht="15" hidden="false" customHeight="false" outlineLevel="0" collapsed="false">
      <c r="A33" s="12" t="s">
        <v>16</v>
      </c>
      <c r="B33" s="12" t="s">
        <v>223</v>
      </c>
      <c r="C33" s="12" t="s">
        <v>224</v>
      </c>
      <c r="D33" s="12" t="s">
        <v>225</v>
      </c>
    </row>
    <row r="34" customFormat="false" ht="15" hidden="false" customHeight="false" outlineLevel="0" collapsed="false">
      <c r="A34" s="0" t="s">
        <v>226</v>
      </c>
      <c r="B34" s="0" t="s">
        <v>14</v>
      </c>
      <c r="C34" s="0" t="s">
        <v>7</v>
      </c>
      <c r="D34" s="0" t="s">
        <v>227</v>
      </c>
    </row>
    <row r="35" customFormat="false" ht="15" hidden="false" customHeight="false" outlineLevel="0" collapsed="false">
      <c r="A35" s="11" t="s">
        <v>228</v>
      </c>
      <c r="B35" s="11" t="s">
        <v>229</v>
      </c>
      <c r="C35" s="11" t="s">
        <v>7</v>
      </c>
      <c r="D35" s="11" t="s">
        <v>230</v>
      </c>
    </row>
  </sheetData>
  <mergeCells count="23">
    <mergeCell ref="A1:F1"/>
    <mergeCell ref="A2:F2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6:B16"/>
    <mergeCell ref="A23:B23"/>
    <mergeCell ref="A24:B24"/>
    <mergeCell ref="A25:B25"/>
    <mergeCell ref="A26:B26"/>
    <mergeCell ref="A27:B27"/>
    <mergeCell ref="A28:B28"/>
    <mergeCell ref="A29:B29"/>
    <mergeCell ref="A30:B30"/>
    <mergeCell ref="A32:B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2026-08-06T21:26:39Z</dcterms:created>
  <dc:creator>openpyxl</dc:creator>
  <dc:description/>
  <dc:language>en-US</dc:language>
  <cp:lastModifiedBy/>
  <dcterms:modified xsi:type="dcterms:W3CDTF">2026-08-06T21:26:44Z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