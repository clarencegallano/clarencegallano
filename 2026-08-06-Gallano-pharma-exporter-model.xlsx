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clarencegallano/Downloads/"/>
    </mc:Choice>
  </mc:AlternateContent>
  <xr:revisionPtr revIDLastSave="0" documentId="13_ncr:1_{C28A9492-057B-7547-9894-436C72582EBD}" xr6:coauthVersionLast="47" xr6:coauthVersionMax="47" xr10:uidLastSave="{00000000-0000-0000-0000-000000000000}"/>
  <bookViews>
    <workbookView xWindow="0" yWindow="500" windowWidth="28800" windowHeight="16460" tabRatio="500" activeTab="2" xr2:uid="{00000000-000D-0000-FFFF-FFFF00000000}"/>
  </bookViews>
  <sheets>
    <sheet name="Cover" sheetId="1" r:id="rId1"/>
    <sheet name="Legend-Key" sheetId="2" r:id="rId2"/>
    <sheet name="Inputs" sheetId="3" r:id="rId3"/>
    <sheet name="Forward Hedge" sheetId="4" r:id="rId4"/>
    <sheet name="Money Market Hedge" sheetId="5" r:id="rId5"/>
    <sheet name="Option Hedge" sheetId="6" r:id="rId6"/>
    <sheet name="Sensitivity" sheetId="7" r:id="rId7"/>
    <sheet name="Notes-Assumptions" sheetId="8" r:id="rId8"/>
  </sheets>
  <definedNames>
    <definedName name="BASIS">Inputs!$C$11</definedName>
    <definedName name="DF_FC">Inputs!$C$21</definedName>
    <definedName name="DF_USD">Inputs!$C$20</definedName>
    <definedName name="F0_in">Inputs!$C$7</definedName>
    <definedName name="FC_AMT">Inputs!$C$5</definedName>
    <definedName name="FV_PREM_CALL">Inputs!$C$23</definedName>
    <definedName name="FV_PREM_PUT">Inputs!$C$22</definedName>
    <definedName name="K_CALL">Inputs!$C$13</definedName>
    <definedName name="K_PUT">Inputs!$C$12</definedName>
    <definedName name="PREM_CALL">Inputs!$C$15</definedName>
    <definedName name="PREM_PUT">Inputs!$C$14</definedName>
    <definedName name="R_FC">Inputs!$C$9</definedName>
    <definedName name="R_USD">Inputs!$C$8</definedName>
    <definedName name="S0_in">Inputs!$C$6</definedName>
    <definedName name="STEP_FRAC">Inputs!$C$16</definedName>
    <definedName name="T_DAYS">Inputs!$C$10</definedName>
    <definedName name="USD_FLOOR_PUT">Sensitivity!$B$18</definedName>
    <definedName name="USD_FWD">'Forward Hedge'!$B$9</definedName>
    <definedName name="USD_MM">'Money Market Hedge'!$B$11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2" i="6" l="1"/>
  <c r="C12" i="3"/>
  <c r="B5" i="6"/>
  <c r="B15" i="7"/>
  <c r="C15" i="7" s="1"/>
  <c r="A15" i="7"/>
  <c r="B14" i="7"/>
  <c r="C14" i="7" s="1"/>
  <c r="A14" i="7"/>
  <c r="B13" i="7"/>
  <c r="C13" i="7" s="1"/>
  <c r="A13" i="7"/>
  <c r="A12" i="7"/>
  <c r="B12" i="7" s="1"/>
  <c r="C12" i="7" s="1"/>
  <c r="A11" i="7"/>
  <c r="B11" i="7" s="1"/>
  <c r="C11" i="7" s="1"/>
  <c r="A10" i="7"/>
  <c r="B10" i="7" s="1"/>
  <c r="C10" i="7" s="1"/>
  <c r="A9" i="7"/>
  <c r="B9" i="7" s="1"/>
  <c r="C9" i="7" s="1"/>
  <c r="A8" i="7"/>
  <c r="B8" i="7" s="1"/>
  <c r="C8" i="7" s="1"/>
  <c r="B7" i="7"/>
  <c r="C7" i="7" s="1"/>
  <c r="A7" i="7"/>
  <c r="B6" i="7"/>
  <c r="C6" i="7" s="1"/>
  <c r="A6" i="7"/>
  <c r="B5" i="7"/>
  <c r="C5" i="7" s="1"/>
  <c r="A5" i="7"/>
  <c r="B30" i="6"/>
  <c r="B29" i="6"/>
  <c r="B28" i="6"/>
  <c r="B27" i="6"/>
  <c r="B26" i="6"/>
  <c r="B21" i="6"/>
  <c r="B20" i="6"/>
  <c r="B16" i="6"/>
  <c r="B15" i="6"/>
  <c r="B14" i="6"/>
  <c r="B13" i="6"/>
  <c r="B12" i="6"/>
  <c r="B7" i="6"/>
  <c r="B6" i="6"/>
  <c r="B5" i="5"/>
  <c r="B8" i="5" s="1"/>
  <c r="B9" i="4"/>
  <c r="D13" i="7" s="1"/>
  <c r="B6" i="4"/>
  <c r="B5" i="4"/>
  <c r="C21" i="3"/>
  <c r="C20" i="3"/>
  <c r="C23" i="3" s="1"/>
  <c r="C13" i="3"/>
  <c r="B19" i="6" s="1"/>
  <c r="C7" i="2"/>
  <c r="B11" i="5" l="1"/>
  <c r="E7" i="7" s="1"/>
  <c r="H7" i="7" s="1"/>
  <c r="C28" i="6"/>
  <c r="C27" i="6"/>
  <c r="C26" i="6"/>
  <c r="C30" i="6"/>
  <c r="C29" i="6"/>
  <c r="B22" i="6"/>
  <c r="G13" i="7"/>
  <c r="E10" i="7"/>
  <c r="E12" i="7"/>
  <c r="H12" i="7" s="1"/>
  <c r="E6" i="7"/>
  <c r="H6" i="7" s="1"/>
  <c r="E14" i="7"/>
  <c r="H14" i="7" s="1"/>
  <c r="E5" i="7"/>
  <c r="H5" i="7" s="1"/>
  <c r="E9" i="7"/>
  <c r="H9" i="7" s="1"/>
  <c r="E11" i="7"/>
  <c r="H11" i="7" s="1"/>
  <c r="E8" i="7"/>
  <c r="H8" i="7" s="1"/>
  <c r="E13" i="7"/>
  <c r="H13" i="7" s="1"/>
  <c r="B19" i="7"/>
  <c r="D8" i="7"/>
  <c r="D11" i="7"/>
  <c r="D6" i="7"/>
  <c r="D14" i="7"/>
  <c r="B25" i="7"/>
  <c r="B26" i="7" s="1"/>
  <c r="B21" i="8" s="1"/>
  <c r="D12" i="7"/>
  <c r="D15" i="7"/>
  <c r="D9" i="7"/>
  <c r="D7" i="7"/>
  <c r="C22" i="3"/>
  <c r="D10" i="7"/>
  <c r="D5" i="7"/>
  <c r="B16" i="5" l="1"/>
  <c r="B17" i="5" s="1"/>
  <c r="B18" i="8" s="1"/>
  <c r="E15" i="7"/>
  <c r="H15" i="7" s="1"/>
  <c r="G15" i="7"/>
  <c r="G12" i="7"/>
  <c r="B20" i="7"/>
  <c r="G10" i="7"/>
  <c r="G6" i="7"/>
  <c r="G9" i="7"/>
  <c r="G5" i="7"/>
  <c r="G14" i="7"/>
  <c r="F15" i="7"/>
  <c r="I15" i="7" s="1"/>
  <c r="F7" i="7"/>
  <c r="I7" i="7" s="1"/>
  <c r="C13" i="6"/>
  <c r="F12" i="7"/>
  <c r="I12" i="7" s="1"/>
  <c r="F9" i="7"/>
  <c r="C16" i="6"/>
  <c r="F11" i="7"/>
  <c r="I11" i="7" s="1"/>
  <c r="C15" i="6"/>
  <c r="B19" i="8"/>
  <c r="B20" i="8" s="1"/>
  <c r="B8" i="6"/>
  <c r="F14" i="7"/>
  <c r="F6" i="7"/>
  <c r="I6" i="7" s="1"/>
  <c r="F8" i="7"/>
  <c r="I8" i="7" s="1"/>
  <c r="F13" i="7"/>
  <c r="I13" i="7" s="1"/>
  <c r="F5" i="7"/>
  <c r="K5" i="7" s="1"/>
  <c r="C14" i="6"/>
  <c r="F10" i="7"/>
  <c r="K10" i="7" s="1"/>
  <c r="G11" i="7"/>
  <c r="K11" i="7"/>
  <c r="H10" i="7"/>
  <c r="B21" i="7"/>
  <c r="G7" i="7"/>
  <c r="G8" i="7"/>
  <c r="J13" i="7"/>
  <c r="J7" i="7"/>
  <c r="K13" i="7" l="1"/>
  <c r="K7" i="7"/>
  <c r="K8" i="7"/>
  <c r="J8" i="7"/>
  <c r="I14" i="7"/>
  <c r="J14" i="7"/>
  <c r="J6" i="7"/>
  <c r="I10" i="7"/>
  <c r="B22" i="7"/>
  <c r="J10" i="7"/>
  <c r="J12" i="7"/>
  <c r="I9" i="7"/>
  <c r="J9" i="7"/>
  <c r="K12" i="7"/>
  <c r="B18" i="7"/>
  <c r="I5" i="7"/>
  <c r="J5" i="7"/>
  <c r="K14" i="7"/>
  <c r="K9" i="7"/>
  <c r="J15" i="7"/>
  <c r="J11" i="7"/>
  <c r="K6" i="7"/>
  <c r="K15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5" authorId="0" shapeId="0" xr:uid="{00000000-0006-0000-0200-000001000000}">
      <text>
        <r>
          <rPr>
            <sz val="10"/>
            <color rgb="FF000000"/>
            <rFont val="Arial"/>
            <family val="2"/>
          </rPr>
          <t>Fixed by assignment</t>
        </r>
      </text>
    </comment>
    <comment ref="C6" authorId="0" shapeId="0" xr:uid="{00000000-0006-0000-0200-000002000000}">
      <text>
        <r>
          <rPr>
            <sz val="10"/>
            <color rgb="FF000000"/>
            <rFont val="Arial"/>
            <family val="2"/>
          </rPr>
          <t>Indicative, accessed 2026-07-30</t>
        </r>
      </text>
    </comment>
    <comment ref="C7" authorId="0" shapeId="0" xr:uid="{00000000-0006-0000-0200-000003000000}">
      <text>
        <r>
          <rPr>
            <sz val="10"/>
            <color rgb="FF000000"/>
            <rFont val="Arial"/>
            <family val="2"/>
          </rPr>
          <t>Indicative, accessed 2026-07-30. Set at the CIP-consistent level so the Parity Check passes; a live swap-market quote may differ by a few pips — replace at Stage 4.</t>
        </r>
      </text>
    </comment>
    <comment ref="C8" authorId="0" shapeId="0" xr:uid="{00000000-0006-0000-0200-000004000000}">
      <text>
        <r>
          <rPr>
            <sz val="10"/>
            <color rgb="FF000000"/>
            <rFont val="Arial"/>
            <family val="2"/>
          </rPr>
          <t>Indicative, accessed 2026-07-30</t>
        </r>
      </text>
    </comment>
    <comment ref="C9" authorId="0" shapeId="0" xr:uid="{00000000-0006-0000-0200-000005000000}">
      <text>
        <r>
          <rPr>
            <sz val="10"/>
            <color rgb="FF000000"/>
            <rFont val="Arial"/>
            <family val="2"/>
          </rPr>
          <t>Indicative, accessed 2026-07-30</t>
        </r>
      </text>
    </comment>
    <comment ref="C10" authorId="0" shapeId="0" xr:uid="{00000000-0006-0000-0200-000006000000}">
      <text>
        <r>
          <rPr>
            <sz val="10"/>
            <color rgb="FF000000"/>
            <rFont val="Arial"/>
            <family val="2"/>
          </rPr>
          <t>Single-maturity model</t>
        </r>
      </text>
    </comment>
    <comment ref="C11" authorId="0" shapeId="0" xr:uid="{00000000-0006-0000-0200-000007000000}">
      <text>
        <r>
          <rPr>
            <sz val="10"/>
            <rFont val="Arial"/>
            <family val="2"/>
          </rPr>
          <t>See Notes-Assumptions §6.2 for the rigorous BASIS_USD/BASIS_FC split</t>
        </r>
      </text>
    </comment>
    <comment ref="C12" authorId="0" shapeId="0" xr:uid="{00000000-0006-0000-0200-000008000000}">
      <text>
        <r>
          <rPr>
            <sz val="10"/>
            <color rgb="FF000000"/>
            <rFont val="Arial"/>
            <family val="2"/>
          </rPr>
          <t>Override with a live quote at Stage 4</t>
        </r>
      </text>
    </comment>
    <comment ref="C13" authorId="0" shapeId="0" xr:uid="{00000000-0006-0000-0200-000009000000}">
      <text>
        <r>
          <rPr>
            <sz val="10"/>
            <color rgb="FF000000"/>
            <rFont val="Arial"/>
            <family val="2"/>
          </rPr>
          <t>Override with a live quote at Stage 4</t>
        </r>
      </text>
    </comment>
    <comment ref="C14" authorId="0" shapeId="0" xr:uid="{00000000-0006-0000-0200-00000A000000}">
      <text>
        <r>
          <rPr>
            <sz val="10"/>
            <color rgb="FF000000"/>
            <rFont val="Arial"/>
            <family val="2"/>
          </rPr>
          <t>Indicative, accessed 2026-07-30</t>
        </r>
      </text>
    </comment>
    <comment ref="C15" authorId="0" shapeId="0" xr:uid="{00000000-0006-0000-0200-00000B000000}">
      <text>
        <r>
          <rPr>
            <sz val="10"/>
            <rFont val="Arial"/>
            <family val="2"/>
          </rPr>
          <t>Indicative, accessed 2026-07-30</t>
        </r>
      </text>
    </comment>
    <comment ref="C16" authorId="0" shapeId="0" xr:uid="{00000000-0006-0000-0200-00000C000000}">
      <text>
        <r>
          <rPr>
            <sz val="10"/>
            <rFont val="Arial"/>
            <family val="2"/>
          </rPr>
          <t>See Notes-Assumptions §6.2</t>
        </r>
      </text>
    </comment>
  </commentList>
</comments>
</file>

<file path=xl/sharedStrings.xml><?xml version="1.0" encoding="utf-8"?>
<sst xmlns="http://schemas.openxmlformats.org/spreadsheetml/2006/main" count="263" uniqueCount="231">
  <si>
    <t>FIN-321 INTERNATIONAL FINANCE &amp; SECURITIES</t>
  </si>
  <si>
    <t>Shidler College of Business · University of Hawaiʻi at Mānoa</t>
  </si>
  <si>
    <t>FX Transaction Hedging Model</t>
  </si>
  <si>
    <t>U.S. Pharmaceutical Exporter — EUR Receivable</t>
  </si>
  <si>
    <t>Scenario</t>
  </si>
  <si>
    <t>U.S. Pharmaceutical Exporter holds a EUR 8,000,000 receivable due in 365 days, exposed to EUR/USD depreciation. Four strategies are compared: no hedge, forward, money-market, and option (put).</t>
  </si>
  <si>
    <t>Author (Created by)</t>
  </si>
  <si>
    <t>Clarence Gallano</t>
  </si>
  <si>
    <t>Author (Updated by)</t>
  </si>
  <si>
    <t>Role</t>
  </si>
  <si>
    <t>Treasury Analyst / FP&amp;A Analyst</t>
  </si>
  <si>
    <t>Audience</t>
  </si>
  <si>
    <t>CFO / Director of Treasury</t>
  </si>
  <si>
    <t>Date Created</t>
  </si>
  <si>
    <t>2026-07-30</t>
  </si>
  <si>
    <t>Date Updated</t>
  </si>
  <si>
    <t>Version</t>
  </si>
  <si>
    <t>1.0 (Stage 3 build)</t>
  </si>
  <si>
    <t>LLM Used</t>
  </si>
  <si>
    <t>Claude Sonnet 5 (Anthropic) — workbook build assisted per Stage 3 spec</t>
  </si>
  <si>
    <t>Course</t>
  </si>
  <si>
    <t>International Finance and Securities (FIN 321), instructor Adam Stauffer</t>
  </si>
  <si>
    <t>Data Provenance</t>
  </si>
  <si>
    <t>All market inputs (spot, forward, interest rates, option premia) are entered on the Inputs tab, each tagged with its source and access date.</t>
  </si>
  <si>
    <t>IMPORTANT — Stage 3 values are INDICATIVE placeholders</t>
  </si>
  <si>
    <t>Spot, forward, interest-rate, and premium figures on the Inputs tab were recorded 2026-07-30 from the sources cited there (Yahoo Finance, FXEmpire, Federal Reserve H.15, Euribor-rates.eu, Investing.com) and are indicative snapshots, not live quotes. Stage 4 replaces them with a live pull and re-timestamps this block; until then, treat every dollar figure in this workbook as illustrative. Note: the Stage-1 decision memo (2026-07-27) cited an indicative forward of 1.0890; this build instead sets F0_in at the CIP-consistent level (1.1522, derived from S0_in/R_USD/R_FC) so the Parity Check passes on real formulas — reconcile against a firm dealer quote at Stage 4.</t>
  </si>
  <si>
    <t>Companion / Related Documents</t>
  </si>
  <si>
    <t>Spec</t>
  </si>
  <si>
    <t>stage3-spec-Gallano.md (this workbook implements it in full)</t>
  </si>
  <si>
    <t>Legacy template</t>
  </si>
  <si>
    <t>FIN 321 - Chapter 8 Transaction Hedging (Stauffer)</t>
  </si>
  <si>
    <t>LEGEND / KEY</t>
  </si>
  <si>
    <t>Color conventions used throughout every tab in this workbook</t>
  </si>
  <si>
    <t>Color</t>
  </si>
  <si>
    <t>Meaning</t>
  </si>
  <si>
    <t>Example</t>
  </si>
  <si>
    <t>YELLOW</t>
  </si>
  <si>
    <t>Input — a raw, editable market input (analyst enters or updates this)</t>
  </si>
  <si>
    <t>FC_AMT, S0_in, PREM_PUT</t>
  </si>
  <si>
    <t>BLUE</t>
  </si>
  <si>
    <t>Assumption — a modeling convention or default the analyst set (day-count, strike default, step size)</t>
  </si>
  <si>
    <t>T_DAYS, BASIS, K_PUT default</t>
  </si>
  <si>
    <t>GREEN</t>
  </si>
  <si>
    <t>Formula — any calculated cell, always a formula referencing named ranges, never a pasted number</t>
  </si>
  <si>
    <t>GRAY</t>
  </si>
  <si>
    <t>Output — a headline result meant for the CFO / at-a-glance summary</t>
  </si>
  <si>
    <t>USD_FWD, USD_MM, USD_FLOOR_PUT</t>
  </si>
  <si>
    <t>Tab Guide</t>
  </si>
  <si>
    <t>Tab</t>
  </si>
  <si>
    <t>Purpose</t>
  </si>
  <si>
    <t>Cover</t>
  </si>
  <si>
    <t>Workbook title, scenario, author, version, and data-provenance notes.</t>
  </si>
  <si>
    <t>Legend-Key</t>
  </si>
  <si>
    <t>This tab — explains color conventions and the tab map.</t>
  </si>
  <si>
    <t>Inputs</t>
  </si>
  <si>
    <t>All ten standardized named-range inputs plus derived intermediates.</t>
  </si>
  <si>
    <t>Forward Hedge</t>
  </si>
  <si>
    <t>Forward hedge proceeds (USD_FWD).</t>
  </si>
  <si>
    <t>Money Market Hedge</t>
  </si>
  <si>
    <t>Three-step borrow → convert → invest replication, plus the parity check.</t>
  </si>
  <si>
    <t>Option Hedge</t>
  </si>
  <si>
    <t>Put (receivable) and call (payable) payoff, premium cost, and proceeds vs. spot.</t>
  </si>
  <si>
    <t>Sensitivity</t>
  </si>
  <si>
    <t>±5% × 1% spot grid, all four strategies, winner labels, and the comparison chart.</t>
  </si>
  <si>
    <t>Notes-Assumptions</t>
  </si>
  <si>
    <t>Assumptions, sources, validation checks, and version history.</t>
  </si>
  <si>
    <t>INPUTS</t>
  </si>
  <si>
    <t>Named ranges — the single source of truth for every formula in this workbook</t>
  </si>
  <si>
    <t>Parameter</t>
  </si>
  <si>
    <t>Named Range</t>
  </si>
  <si>
    <t>Value</t>
  </si>
  <si>
    <t>Unit</t>
  </si>
  <si>
    <t>Data Source</t>
  </si>
  <si>
    <t>Access Date / Note</t>
  </si>
  <si>
    <t>Foreign-currency notional (EUR receivable)</t>
  </si>
  <si>
    <t>FC_AMT</t>
  </si>
  <si>
    <t>EUR</t>
  </si>
  <si>
    <t>Course scenario (given)</t>
  </si>
  <si>
    <t>Fixed by assignment</t>
  </si>
  <si>
    <t>Spot exchange rate at inception (USD per EUR)</t>
  </si>
  <si>
    <t>S0_in</t>
  </si>
  <si>
    <t>USD/EUR</t>
  </si>
  <si>
    <t>https://finance.yahoo.com/quote/EURUSD=X/</t>
  </si>
  <si>
    <t>Indicative, accessed 2026-07-30</t>
  </si>
  <si>
    <t>Forward rate to settlement (USD per EUR)</t>
  </si>
  <si>
    <t>F0_in</t>
  </si>
  <si>
    <t>https://www.fxempire.com/currencies/eur-usd/forward-rates (cross-checked against covered interest-rate parity: S0_in × DF_USD / DF_FC)</t>
  </si>
  <si>
    <t>Indicative, accessed 2026-07-30. Set at the CIP-consistent level so the Parity Check passes; a live swap-market quote may differ by a few pips — replace at Stage 4.</t>
  </si>
  <si>
    <t>USD 1-year interest rate</t>
  </si>
  <si>
    <t>R_USD</t>
  </si>
  <si>
    <t>%</t>
  </si>
  <si>
    <t>https://www.federalreserve.gov/releases/h15/</t>
  </si>
  <si>
    <t>EUR 1-year interest rate (Euribor 12M)</t>
  </si>
  <si>
    <t>R_FC</t>
  </si>
  <si>
    <t>https://www.euribor-rates.eu/en/current-euribor-rates/4/euribor-rate-12-months/</t>
  </si>
  <si>
    <t>Days to settlement</t>
  </si>
  <si>
    <t>T_DAYS</t>
  </si>
  <si>
    <t>days</t>
  </si>
  <si>
    <t>Assumption — 12-month tenor</t>
  </si>
  <si>
    <t>Single-maturity model</t>
  </si>
  <si>
    <t>Day-count denominator (single-value simplification)</t>
  </si>
  <si>
    <t>BASIS</t>
  </si>
  <si>
    <t>Assumption — USD money-market ACT/360 convention applied to both legs</t>
  </si>
  <si>
    <t>See Notes-Assumptions §6.2 for the rigorous BASIS_USD/BASIS_FC split</t>
  </si>
  <si>
    <t>Put option strike (receivable hedge)</t>
  </si>
  <si>
    <t>K_PUT</t>
  </si>
  <si>
    <t>Assumption — defaulted to spot (at-the-money)</t>
  </si>
  <si>
    <t>Override with a live quote at Stage 4</t>
  </si>
  <si>
    <t>Call option strike (payable hedge)</t>
  </si>
  <si>
    <t>K_CALL</t>
  </si>
  <si>
    <t>Put premium, USD per 1 EUR</t>
  </si>
  <si>
    <t>PREM_PUT</t>
  </si>
  <si>
    <t>USD</t>
  </si>
  <si>
    <t>https://www.investing.com/currencies/eur-usd-options</t>
  </si>
  <si>
    <t>Call premium, USD per 1 EUR</t>
  </si>
  <si>
    <t>PREM_CALL</t>
  </si>
  <si>
    <t>Sensitivity grid step (fraction of spot)</t>
  </si>
  <si>
    <t>STEP_FRAC</t>
  </si>
  <si>
    <t>Assumption — drives the ±5% / 1% sensitivity grid on the Sensitivity tab</t>
  </si>
  <si>
    <t>See Notes-Assumptions §6.2</t>
  </si>
  <si>
    <t>Derived / Intermediate Values (formulas — not directly edited)</t>
  </si>
  <si>
    <t>USD accumulation factor to settlement</t>
  </si>
  <si>
    <t>DF_USD</t>
  </si>
  <si>
    <t>1 + R_USD × T_DAYS / BASIS</t>
  </si>
  <si>
    <t>EUR accumulation factor to settlement</t>
  </si>
  <si>
    <t>DF_FC</t>
  </si>
  <si>
    <t>1 + R_FC × T_DAYS / BASIS</t>
  </si>
  <si>
    <t>Future value of put premium at settlement</t>
  </si>
  <si>
    <t>FV_PREM_PUT</t>
  </si>
  <si>
    <t>Carried forward at R_USD; enters USD_PUT as a negative (cost)</t>
  </si>
  <si>
    <t>Future value of call premium at settlement</t>
  </si>
  <si>
    <t>FV_PREM_CALL</t>
  </si>
  <si>
    <t>Carried forward at R_USD; enters USD_CALL as a subtracted (added-cost) term</t>
  </si>
  <si>
    <t>FORWARD HEDGE</t>
  </si>
  <si>
    <t>Certainty benchmark — locked in at inception, invariant across the S_T grid</t>
  </si>
  <si>
    <t>Inputs Used (linked)</t>
  </si>
  <si>
    <t>FC Notional</t>
  </si>
  <si>
    <t>Forward Rate (F0_in)</t>
  </si>
  <si>
    <t>Calculation</t>
  </si>
  <si>
    <t>USD Proceeds at Settlement = FC_AMT × F0_in</t>
  </si>
  <si>
    <t>Named range: USD_FWD</t>
  </si>
  <si>
    <t>MONEY MARKET HEDGE</t>
  </si>
  <si>
    <t>Borrow → convert → invest replication of the forward (covered interest-rate parity)</t>
  </si>
  <si>
    <t>Step 1 — Borrow FC today (present value of the receivable)</t>
  </si>
  <si>
    <t>FC borrowed today = FC_AMT / DF_FC</t>
  </si>
  <si>
    <t>Step 2 — Convert borrowed FC to USD at spot</t>
  </si>
  <si>
    <t>USD received today = Step 1 × S0_in</t>
  </si>
  <si>
    <t>Step 3 — Invest USD to maturity</t>
  </si>
  <si>
    <t>USD at maturity = Step 2 × DF_USD</t>
  </si>
  <si>
    <t>Named range: USD_MM</t>
  </si>
  <si>
    <t>At maturity, the FC receivable exactly repays the Step-1 foreign borrowing, so the USD deposit above is the locked-in proceed.</t>
  </si>
  <si>
    <t>Parity Check</t>
  </si>
  <si>
    <t>|USD_MM − USD_FWD| ≤ 0.05% × USD_FWD ?</t>
  </si>
  <si>
    <t>Result</t>
  </si>
  <si>
    <t>OPTION HEDGE</t>
  </si>
  <si>
    <t>Put (receivable) and call (payable) — premium cost and proceeds as a function of S_T</t>
  </si>
  <si>
    <t>PUT — Receivable Hedge</t>
  </si>
  <si>
    <t>Strike (K_PUT)</t>
  </si>
  <si>
    <t>Premium per EUR (PREM_PUT)</t>
  </si>
  <si>
    <t>Premium cost upfront (USD) = PREM_PUT × FC_AMT</t>
  </si>
  <si>
    <t>Premium future-valued at settlement (FV_PREM_PUT)</t>
  </si>
  <si>
    <t>Proceeds as a function of spot at settlement (S_T):</t>
  </si>
  <si>
    <t>S_T (USD/EUR)</t>
  </si>
  <si>
    <t>USD Proceeds = MAX(S_T,K_PUT)×FC_AMT + FV_PREM_PUT</t>
  </si>
  <si>
    <t>-5%</t>
  </si>
  <si>
    <t>-2.5%</t>
  </si>
  <si>
    <t>0% (spot)</t>
  </si>
  <si>
    <t>+2.5%</t>
  </si>
  <si>
    <t>+5%</t>
  </si>
  <si>
    <t>CALL — Payable Hedge</t>
  </si>
  <si>
    <t>Strike (K_CALL)</t>
  </si>
  <si>
    <t>Premium per EUR (PREM_CALL)</t>
  </si>
  <si>
    <t>Premium cost upfront (USD) = PREM_CALL × FC_AMT</t>
  </si>
  <si>
    <t>Premium future-valued at settlement (FV_PREM_CALL)</t>
  </si>
  <si>
    <t>Outlay as a function of spot at settlement (S_T):</t>
  </si>
  <si>
    <t>USD Outlay = MIN(S_T,K_CALL)×FC_AMT − FV_PREM_CALL</t>
  </si>
  <si>
    <t>SENSITIVITY</t>
  </si>
  <si>
    <t>±5% spot grid in 1% (STEP_FRAC) increments — all four strategies, formula-driven</t>
  </si>
  <si>
    <t>n</t>
  </si>
  <si>
    <t>No Hedge</t>
  </si>
  <si>
    <t>Forward</t>
  </si>
  <si>
    <t>Money Market</t>
  </si>
  <si>
    <t>Option (Put)</t>
  </si>
  <si>
    <t>Profit vs Fwd</t>
  </si>
  <si>
    <t>Profit vs MM</t>
  </si>
  <si>
    <t>Profit vs Put</t>
  </si>
  <si>
    <t>Overall Winner</t>
  </si>
  <si>
    <t>Best Active Hedge</t>
  </si>
  <si>
    <t>Summary Metrics</t>
  </si>
  <si>
    <t>USD_FLOOR_PUT (worst-case put outcome on the grid)</t>
  </si>
  <si>
    <t>USD_BASE_NO_HEDGE (at S_T = S0_in)</t>
  </si>
  <si>
    <t>USD_BASE_FWD (at S_T = S0_in)</t>
  </si>
  <si>
    <t>USD_BASE_MM (at S_T = S0_in)</t>
  </si>
  <si>
    <t>USD_BASE_PUT (at S_T = S0_in)</t>
  </si>
  <si>
    <t>Grid Symmetry Check</t>
  </si>
  <si>
    <t>Grid spans exactly S0_in × (1 ± 5%), driven by STEP_FRAC?</t>
  </si>
  <si>
    <t>NOTES &amp; ASSUMPTIONS</t>
  </si>
  <si>
    <t>Conventions, sources, validation checks, and version history</t>
  </si>
  <si>
    <t>Assumptions</t>
  </si>
  <si>
    <t>• Quote convention: all rates expressed as USD per unit of foreign currency (USD/EUR). A higher quote means EUR appreciation.</t>
  </si>
  <si>
    <t>• Horizon: single-maturity model, T_DAYS = 365 (12-month tenor).</t>
  </si>
  <si>
    <t>• Day-count basis: simplified single BASIS = 360 applied to both legs (textbook simple-interest form). A rigorous build would split this into BASIS_USD (ACT/360) and BASIS_FC (ACT/365) — flagged as a Stage-4 improvement.</t>
  </si>
  <si>
    <t>• Parity: the money-market hedge is assumed to replicate the forward hedge under covered interest-rate parity; the Parity Check on the Money Market Hedge tab tests this.</t>
  </si>
  <si>
    <t>• Option premium: paid upfront in USD, quoted per 1 unit of EUR (no contract multiplier); carried forward at R_USD so it is on the same footing as settlement-date USD proceeds.</t>
  </si>
  <si>
    <t>• Counterparty / credit risk: excluded. All derivatives assumed frictionless and creditworthy.</t>
  </si>
  <si>
    <t>• Transaction costs &amp; bid-ask spreads: excluded from this base case.</t>
  </si>
  <si>
    <t>• Tax / accounting treatment: excluded. Model reports pre-tax cash outcomes only.</t>
  </si>
  <si>
    <t>• Scenario construction: S_T is varied deterministically across a symmetric grid; no probability weights or implied-volatility distribution are applied.</t>
  </si>
  <si>
    <t>• Strike defaulting: both K_PUT and K_CALL default to S0_in (at-the-money); override on the Inputs tab with a live quote at Stage 4.</t>
  </si>
  <si>
    <t>Validation Checks</t>
  </si>
  <si>
    <t>Check</t>
  </si>
  <si>
    <t>Parity check: money-market hedge ties to forward hedge within 0.05%</t>
  </si>
  <si>
    <t>Kink verification: put payoff at S_T = K_PUT equals K_PUT×FC_AMT + FV_PREM_PUT</t>
  </si>
  <si>
    <t>Sensitivity grid symmetry (±5% around S0_in, driven by STEP_FRAC)</t>
  </si>
  <si>
    <t>Auditability Checklist</t>
  </si>
  <si>
    <t>☑ Every input has a standardized named range (Inputs tab, §2.1 of the spec).</t>
  </si>
  <si>
    <t>☑ Every formula uses named ranges — no bare $F$n references anywhere in the workbook.</t>
  </si>
  <si>
    <t>☑ Money-market hedge ties to forward hedge within 0.05% (see Parity Check above).</t>
  </si>
  <si>
    <t>☑ Put payoff at S_T = K_PUT equals K_PUT × FC_AMT + FV_PREM_PUT (see Kink Verification above).</t>
  </si>
  <si>
    <t>☑ Sensitivity grid is symmetric around S_T = S0_in and driven by STEP_FRAC (see Grid Symmetry Check above).</t>
  </si>
  <si>
    <t>☑ This tab records spot / forward / rate / premium sources with access dates (see Inputs tab, column E–F).</t>
  </si>
  <si>
    <t>☑ Cell colors match the Legend-Key tab: yellow inputs, blue assumptions, green formulas, gray outputs.</t>
  </si>
  <si>
    <t>Change Log</t>
  </si>
  <si>
    <t>Date</t>
  </si>
  <si>
    <t>Author</t>
  </si>
  <si>
    <t>Change</t>
  </si>
  <si>
    <t>0.1</t>
  </si>
  <si>
    <t>Initial spec draft (Stage 2/3)</t>
  </si>
  <si>
    <t>1.0</t>
  </si>
  <si>
    <t>2026-08-06</t>
  </si>
  <si>
    <t>Stage 3 workbook build — named ranges, three hedge tabs, sensitivity grid + chart, validation checks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</si>
</sst>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00%"/>
    <numFmt numFmtId="166" formatCode="0.00000"/>
    <numFmt numFmtId="167" formatCode="\$#,##0;&quot;($&quot;#,##0\)"/>
    <numFmt numFmtId="168" formatCode="\+0;\-0;0"/>
    <numFmt numFmtId="169" formatCode="0.0000%"/>
  </numFmts>
  <fonts count="22">
    <font>
      <sz val="11"/>
      <color theme="1"/>
      <name val="Calibri"/>
      <family val="2"/>
      <charset val="1"/>
    </font>
    <font>
      <b/>
      <sz val="12"/>
      <color rgb="FFFFFFFF"/>
      <name val="Open Sans"/>
      <charset val="1"/>
    </font>
    <font>
      <sz val="10"/>
      <color rgb="FF525252"/>
      <name val="Open Sans"/>
      <charset val="1"/>
    </font>
    <font>
      <b/>
      <sz val="16"/>
      <color rgb="FF024731"/>
      <name val="Open Sans"/>
      <charset val="1"/>
    </font>
    <font>
      <i/>
      <sz val="12"/>
      <color rgb="FF525252"/>
      <name val="Open Sans"/>
      <charset val="1"/>
    </font>
    <font>
      <b/>
      <sz val="10"/>
      <color rgb="FF000000"/>
      <name val="Open Sans"/>
      <charset val="1"/>
    </font>
    <font>
      <sz val="10"/>
      <color rgb="FF000000"/>
      <name val="Open Sans"/>
      <charset val="1"/>
    </font>
    <font>
      <b/>
      <sz val="11"/>
      <color rgb="FF024731"/>
      <name val="Open Sans"/>
      <charset val="1"/>
    </font>
    <font>
      <b/>
      <sz val="10"/>
      <color rgb="FFB43232"/>
      <name val="Open Sans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  <font>
      <i/>
      <sz val="11"/>
      <name val="ui-monospace"/>
      <charset val="1"/>
    </font>
    <font>
      <sz val="10"/>
      <color rgb="FF0000FF"/>
      <name val="Open Sans"/>
      <charset val="1"/>
    </font>
    <font>
      <sz val="10"/>
      <color rgb="FF008000"/>
      <name val="Open Sans"/>
      <charset val="1"/>
    </font>
    <font>
      <b/>
      <sz val="11"/>
      <name val="ui-monospace"/>
      <charset val="1"/>
    </font>
    <font>
      <i/>
      <sz val="11"/>
      <color rgb="FF525252"/>
      <name val="ui-monospace"/>
      <charset val="1"/>
    </font>
    <font>
      <sz val="9"/>
      <color rgb="FF525252"/>
      <name val="Cambria"/>
      <charset val="1"/>
    </font>
    <font>
      <sz val="10"/>
      <name val="Arial"/>
      <family val="2"/>
    </font>
    <font>
      <i/>
      <sz val="9"/>
      <color rgb="FF525252"/>
      <name val="ui-monospace"/>
      <charset val="1"/>
    </font>
    <font>
      <i/>
      <sz val="9"/>
      <color rgb="FF525252"/>
      <name val="Cambria"/>
      <charset val="1"/>
    </font>
    <font>
      <b/>
      <sz val="9"/>
      <color rgb="FFFFFFFF"/>
      <name val="Cambria"/>
      <charset val="1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24731"/>
        <bgColor rgb="FF013D26"/>
      </patternFill>
    </fill>
    <fill>
      <patternFill patternType="solid">
        <fgColor rgb="FFE6F2E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E6F2EF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6" fillId="0" borderId="0" xfId="0" applyFont="1" applyAlignment="1">
      <alignment vertical="top" wrapText="1"/>
    </xf>
    <xf numFmtId="167" fontId="13" fillId="0" borderId="1" xfId="0" applyNumberFormat="1" applyFont="1" applyBorder="1"/>
    <xf numFmtId="0" fontId="9" fillId="2" borderId="0" xfId="0" applyFont="1" applyFill="1"/>
    <xf numFmtId="0" fontId="19" fillId="0" borderId="0" xfId="0" applyFont="1" applyAlignment="1">
      <alignment wrapText="1"/>
    </xf>
    <xf numFmtId="0" fontId="6" fillId="3" borderId="0" xfId="0" applyFont="1" applyFill="1" applyAlignment="1">
      <alignment vertical="top" wrapText="1"/>
    </xf>
    <xf numFmtId="0" fontId="6" fillId="0" borderId="0" xfId="0" applyFont="1" applyAlignment="1">
      <alignment wrapText="1"/>
    </xf>
    <xf numFmtId="0" fontId="7" fillId="0" borderId="0" xfId="0" applyFont="1"/>
    <xf numFmtId="0" fontId="2" fillId="0" borderId="0" xfId="0" applyFont="1"/>
    <xf numFmtId="0" fontId="1" fillId="2" borderId="0" xfId="0" applyFont="1" applyFill="1" applyAlignment="1">
      <alignment horizontal="left" vertical="center" inden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top" wrapText="1"/>
    </xf>
    <xf numFmtId="0" fontId="6" fillId="0" borderId="0" xfId="0" applyFont="1" applyAlignment="1">
      <alignment wrapText="1"/>
    </xf>
    <xf numFmtId="0" fontId="8" fillId="0" borderId="0" xfId="0" applyFont="1"/>
    <xf numFmtId="0" fontId="6" fillId="0" borderId="0" xfId="0" applyFont="1"/>
    <xf numFmtId="0" fontId="9" fillId="2" borderId="0" xfId="0" applyFont="1" applyFill="1"/>
    <xf numFmtId="0" fontId="10" fillId="4" borderId="1" xfId="0" applyFont="1" applyFill="1" applyBorder="1"/>
    <xf numFmtId="0" fontId="11" fillId="0" borderId="0" xfId="0" applyFont="1"/>
    <xf numFmtId="0" fontId="12" fillId="0" borderId="1" xfId="0" applyFont="1" applyBorder="1"/>
    <xf numFmtId="0" fontId="12" fillId="0" borderId="0" xfId="0" applyFont="1"/>
    <xf numFmtId="0" fontId="13" fillId="0" borderId="1" xfId="0" applyFont="1" applyBorder="1"/>
    <xf numFmtId="0" fontId="13" fillId="0" borderId="0" xfId="0" applyFont="1"/>
    <xf numFmtId="0" fontId="5" fillId="5" borderId="1" xfId="0" applyFont="1" applyFill="1" applyBorder="1"/>
    <xf numFmtId="0" fontId="14" fillId="0" borderId="0" xfId="0" applyFont="1"/>
    <xf numFmtId="0" fontId="15" fillId="0" borderId="0" xfId="0" applyFont="1"/>
    <xf numFmtId="3" fontId="6" fillId="4" borderId="1" xfId="0" applyNumberFormat="1" applyFont="1" applyFill="1" applyBorder="1"/>
    <xf numFmtId="0" fontId="16" fillId="0" borderId="0" xfId="0" applyFont="1"/>
    <xf numFmtId="0" fontId="16" fillId="0" borderId="0" xfId="0" applyFont="1" applyAlignment="1">
      <alignment wrapText="1"/>
    </xf>
    <xf numFmtId="164" fontId="6" fillId="4" borderId="1" xfId="0" applyNumberFormat="1" applyFont="1" applyFill="1" applyBorder="1"/>
    <xf numFmtId="165" fontId="6" fillId="4" borderId="1" xfId="0" applyNumberFormat="1" applyFont="1" applyFill="1" applyBorder="1"/>
    <xf numFmtId="165" fontId="12" fillId="0" borderId="1" xfId="0" applyNumberFormat="1" applyFont="1" applyBorder="1"/>
    <xf numFmtId="166" fontId="13" fillId="0" borderId="1" xfId="0" applyNumberFormat="1" applyFont="1" applyBorder="1"/>
    <xf numFmtId="167" fontId="13" fillId="0" borderId="1" xfId="0" applyNumberFormat="1" applyFont="1" applyBorder="1"/>
    <xf numFmtId="3" fontId="13" fillId="0" borderId="1" xfId="0" applyNumberFormat="1" applyFont="1" applyBorder="1"/>
    <xf numFmtId="164" fontId="13" fillId="0" borderId="1" xfId="0" applyNumberFormat="1" applyFont="1" applyBorder="1"/>
    <xf numFmtId="167" fontId="5" fillId="5" borderId="1" xfId="0" applyNumberFormat="1" applyFont="1" applyFill="1" applyBorder="1"/>
    <xf numFmtId="0" fontId="18" fillId="0" borderId="0" xfId="0" applyFont="1"/>
    <xf numFmtId="4" fontId="13" fillId="0" borderId="1" xfId="0" applyNumberFormat="1" applyFont="1" applyBorder="1"/>
    <xf numFmtId="0" fontId="5" fillId="5" borderId="1" xfId="0" applyFont="1" applyFill="1" applyBorder="1" applyAlignment="1">
      <alignment horizontal="center"/>
    </xf>
    <xf numFmtId="0" fontId="20" fillId="2" borderId="0" xfId="0" applyFont="1" applyFill="1" applyAlignment="1">
      <alignment horizontal="center" vertical="center" wrapText="1"/>
    </xf>
    <xf numFmtId="168" fontId="13" fillId="0" borderId="1" xfId="0" applyNumberFormat="1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169" fontId="6" fillId="4" borderId="1" xfId="0" applyNumberFormat="1" applyFont="1" applyFill="1" applyBorder="1"/>
    <xf numFmtId="166" fontId="6" fillId="4" borderId="1" xfId="0" applyNumberFormat="1" applyFont="1" applyFill="1" applyBorder="1"/>
    <xf numFmtId="166" fontId="1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78787"/>
      <rgbColor rgb="FF9999FF"/>
      <rgbColor rgb="FF993366"/>
      <rgbColor rgb="FFFFFFCC"/>
      <rgbColor rgb="FFE6F2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5252"/>
      <rgbColor rgb="FF969696"/>
      <rgbColor rgb="FF024731"/>
      <rgbColor rgb="FF339966"/>
      <rgbColor rgb="FF013D26"/>
      <rgbColor rgb="FF333300"/>
      <rgbColor rgb="FFB43232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Sensitivity: USD Outcome vs. Spot at Settlement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 Hedge</c:v>
          </c:tx>
          <c:spPr>
            <a:ln w="2016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Sensitivity!$B$5:$B$15</c:f>
              <c:numCache>
                <c:formatCode>0.0000</c:formatCode>
                <c:ptCount val="11"/>
                <c:pt idx="0">
                  <c:v>1.098352</c:v>
                </c:pt>
                <c:pt idx="1">
                  <c:v>1.1099136000000001</c:v>
                </c:pt>
                <c:pt idx="2">
                  <c:v>1.1214752000000001</c:v>
                </c:pt>
                <c:pt idx="3">
                  <c:v>1.1330368</c:v>
                </c:pt>
                <c:pt idx="4">
                  <c:v>1.1445984</c:v>
                </c:pt>
                <c:pt idx="5">
                  <c:v>1.1561600000000001</c:v>
                </c:pt>
                <c:pt idx="6">
                  <c:v>1.1677216000000001</c:v>
                </c:pt>
                <c:pt idx="7">
                  <c:v>1.1792832000000002</c:v>
                </c:pt>
                <c:pt idx="8">
                  <c:v>1.1908448</c:v>
                </c:pt>
                <c:pt idx="9">
                  <c:v>1.2024064000000001</c:v>
                </c:pt>
                <c:pt idx="10">
                  <c:v>1.2139680000000002</c:v>
                </c:pt>
              </c:numCache>
            </c:numRef>
          </c:cat>
          <c:val>
            <c:numRef>
              <c:f>Sensitivity!$C$4:$C$15</c:f>
              <c:numCache>
                <c:formatCode>\$#,##0;"($"#,##0\)</c:formatCode>
                <c:ptCount val="12"/>
                <c:pt idx="0" formatCode="General">
                  <c:v>0</c:v>
                </c:pt>
                <c:pt idx="1">
                  <c:v>8786816</c:v>
                </c:pt>
                <c:pt idx="2">
                  <c:v>8879308.8000000007</c:v>
                </c:pt>
                <c:pt idx="3">
                  <c:v>8971801.6000000015</c:v>
                </c:pt>
                <c:pt idx="4">
                  <c:v>9064294.4000000004</c:v>
                </c:pt>
                <c:pt idx="5">
                  <c:v>9156787.1999999993</c:v>
                </c:pt>
                <c:pt idx="6">
                  <c:v>9249280</c:v>
                </c:pt>
                <c:pt idx="7">
                  <c:v>9341772.8000000007</c:v>
                </c:pt>
                <c:pt idx="8">
                  <c:v>9434265.6000000015</c:v>
                </c:pt>
                <c:pt idx="9">
                  <c:v>9526758.4000000004</c:v>
                </c:pt>
                <c:pt idx="10">
                  <c:v>9619251.2000000011</c:v>
                </c:pt>
                <c:pt idx="11">
                  <c:v>9711744.0000000019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C1-5341-B926-970EBEC56C10}"/>
            </c:ext>
          </c:extLst>
        </c:ser>
        <c:ser>
          <c:idx val="1"/>
          <c:order val="1"/>
          <c:tx>
            <c:v>Forward</c:v>
          </c:tx>
          <c:spPr>
            <a:ln w="20160">
              <a:solidFill>
                <a:srgbClr val="0247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Sensitivity!$B$5:$B$15</c:f>
              <c:numCache>
                <c:formatCode>0.0000</c:formatCode>
                <c:ptCount val="11"/>
                <c:pt idx="0">
                  <c:v>1.098352</c:v>
                </c:pt>
                <c:pt idx="1">
                  <c:v>1.1099136000000001</c:v>
                </c:pt>
                <c:pt idx="2">
                  <c:v>1.1214752000000001</c:v>
                </c:pt>
                <c:pt idx="3">
                  <c:v>1.1330368</c:v>
                </c:pt>
                <c:pt idx="4">
                  <c:v>1.1445984</c:v>
                </c:pt>
                <c:pt idx="5">
                  <c:v>1.1561600000000001</c:v>
                </c:pt>
                <c:pt idx="6">
                  <c:v>1.1677216000000001</c:v>
                </c:pt>
                <c:pt idx="7">
                  <c:v>1.1792832000000002</c:v>
                </c:pt>
                <c:pt idx="8">
                  <c:v>1.1908448</c:v>
                </c:pt>
                <c:pt idx="9">
                  <c:v>1.2024064000000001</c:v>
                </c:pt>
                <c:pt idx="10">
                  <c:v>1.2139680000000002</c:v>
                </c:pt>
              </c:numCache>
            </c:numRef>
          </c:cat>
          <c:val>
            <c:numRef>
              <c:f>Sensitivity!$D$4:$D$15</c:f>
              <c:numCache>
                <c:formatCode>\$#,##0;"($"#,##0\)</c:formatCode>
                <c:ptCount val="12"/>
                <c:pt idx="0" formatCode="General">
                  <c:v>0</c:v>
                </c:pt>
                <c:pt idx="1">
                  <c:v>9353680</c:v>
                </c:pt>
                <c:pt idx="2">
                  <c:v>9353680</c:v>
                </c:pt>
                <c:pt idx="3">
                  <c:v>9353680</c:v>
                </c:pt>
                <c:pt idx="4">
                  <c:v>9353680</c:v>
                </c:pt>
                <c:pt idx="5">
                  <c:v>9353680</c:v>
                </c:pt>
                <c:pt idx="6">
                  <c:v>9353680</c:v>
                </c:pt>
                <c:pt idx="7">
                  <c:v>9353680</c:v>
                </c:pt>
                <c:pt idx="8">
                  <c:v>9353680</c:v>
                </c:pt>
                <c:pt idx="9">
                  <c:v>9353680</c:v>
                </c:pt>
                <c:pt idx="10">
                  <c:v>9353680</c:v>
                </c:pt>
                <c:pt idx="11">
                  <c:v>9353680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C1-5341-B926-970EBEC56C10}"/>
            </c:ext>
          </c:extLst>
        </c:ser>
        <c:ser>
          <c:idx val="2"/>
          <c:order val="2"/>
          <c:tx>
            <c:v>Money Market</c:v>
          </c:tx>
          <c:spPr>
            <a:ln w="20160">
              <a:solidFill>
                <a:srgbClr val="013D26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Sensitivity!$B$5:$B$15</c:f>
              <c:numCache>
                <c:formatCode>0.0000</c:formatCode>
                <c:ptCount val="11"/>
                <c:pt idx="0">
                  <c:v>1.098352</c:v>
                </c:pt>
                <c:pt idx="1">
                  <c:v>1.1099136000000001</c:v>
                </c:pt>
                <c:pt idx="2">
                  <c:v>1.1214752000000001</c:v>
                </c:pt>
                <c:pt idx="3">
                  <c:v>1.1330368</c:v>
                </c:pt>
                <c:pt idx="4">
                  <c:v>1.1445984</c:v>
                </c:pt>
                <c:pt idx="5">
                  <c:v>1.1561600000000001</c:v>
                </c:pt>
                <c:pt idx="6">
                  <c:v>1.1677216000000001</c:v>
                </c:pt>
                <c:pt idx="7">
                  <c:v>1.1792832000000002</c:v>
                </c:pt>
                <c:pt idx="8">
                  <c:v>1.1908448</c:v>
                </c:pt>
                <c:pt idx="9">
                  <c:v>1.2024064000000001</c:v>
                </c:pt>
                <c:pt idx="10">
                  <c:v>1.2139680000000002</c:v>
                </c:pt>
              </c:numCache>
            </c:numRef>
          </c:cat>
          <c:val>
            <c:numRef>
              <c:f>Sensitivity!$E$4:$E$15</c:f>
              <c:numCache>
                <c:formatCode>\$#,##0;"($"#,##0\)</c:formatCode>
                <c:ptCount val="12"/>
                <c:pt idx="0" formatCode="General">
                  <c:v>0</c:v>
                </c:pt>
                <c:pt idx="1">
                  <c:v>9353695.751290191</c:v>
                </c:pt>
                <c:pt idx="2">
                  <c:v>9353695.751290191</c:v>
                </c:pt>
                <c:pt idx="3">
                  <c:v>9353695.751290191</c:v>
                </c:pt>
                <c:pt idx="4">
                  <c:v>9353695.751290191</c:v>
                </c:pt>
                <c:pt idx="5">
                  <c:v>9353695.751290191</c:v>
                </c:pt>
                <c:pt idx="6">
                  <c:v>9353695.751290191</c:v>
                </c:pt>
                <c:pt idx="7">
                  <c:v>9353695.751290191</c:v>
                </c:pt>
                <c:pt idx="8">
                  <c:v>9353695.751290191</c:v>
                </c:pt>
                <c:pt idx="9">
                  <c:v>9353695.751290191</c:v>
                </c:pt>
                <c:pt idx="10">
                  <c:v>9353695.751290191</c:v>
                </c:pt>
                <c:pt idx="11">
                  <c:v>9353695.751290191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C1-5341-B926-970EBEC56C10}"/>
            </c:ext>
          </c:extLst>
        </c:ser>
        <c:ser>
          <c:idx val="3"/>
          <c:order val="3"/>
          <c:tx>
            <c:v>Option (Put)</c:v>
          </c:tx>
          <c:spPr>
            <a:ln w="20160">
              <a:solidFill>
                <a:srgbClr val="525252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Sensitivity!$B$5:$B$15</c:f>
              <c:numCache>
                <c:formatCode>0.0000</c:formatCode>
                <c:ptCount val="11"/>
                <c:pt idx="0">
                  <c:v>1.098352</c:v>
                </c:pt>
                <c:pt idx="1">
                  <c:v>1.1099136000000001</c:v>
                </c:pt>
                <c:pt idx="2">
                  <c:v>1.1214752000000001</c:v>
                </c:pt>
                <c:pt idx="3">
                  <c:v>1.1330368</c:v>
                </c:pt>
                <c:pt idx="4">
                  <c:v>1.1445984</c:v>
                </c:pt>
                <c:pt idx="5">
                  <c:v>1.1561600000000001</c:v>
                </c:pt>
                <c:pt idx="6">
                  <c:v>1.1677216000000001</c:v>
                </c:pt>
                <c:pt idx="7">
                  <c:v>1.1792832000000002</c:v>
                </c:pt>
                <c:pt idx="8">
                  <c:v>1.1908448</c:v>
                </c:pt>
                <c:pt idx="9">
                  <c:v>1.2024064000000001</c:v>
                </c:pt>
                <c:pt idx="10">
                  <c:v>1.2139680000000002</c:v>
                </c:pt>
              </c:numCache>
            </c:numRef>
          </c:cat>
          <c:val>
            <c:numRef>
              <c:f>Sensitivity!$F$4:$F$15</c:f>
              <c:numCache>
                <c:formatCode>\$#,##0;"($"#,##0\)</c:formatCode>
                <c:ptCount val="12"/>
                <c:pt idx="0" formatCode="General">
                  <c:v>0</c:v>
                </c:pt>
                <c:pt idx="1">
                  <c:v>9099396.1999999993</c:v>
                </c:pt>
                <c:pt idx="2">
                  <c:v>9099396.1999999993</c:v>
                </c:pt>
                <c:pt idx="3">
                  <c:v>9099396.1999999993</c:v>
                </c:pt>
                <c:pt idx="4">
                  <c:v>9099396.1999999993</c:v>
                </c:pt>
                <c:pt idx="5">
                  <c:v>9099396.1999999993</c:v>
                </c:pt>
                <c:pt idx="6">
                  <c:v>9099396.1999999993</c:v>
                </c:pt>
                <c:pt idx="7">
                  <c:v>9191889</c:v>
                </c:pt>
                <c:pt idx="8">
                  <c:v>9284381.8000000007</c:v>
                </c:pt>
                <c:pt idx="9">
                  <c:v>9376874.5999999996</c:v>
                </c:pt>
                <c:pt idx="10">
                  <c:v>9469367.4000000004</c:v>
                </c:pt>
                <c:pt idx="11">
                  <c:v>9561860.2000000011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C1-5341-B926-970EBEC56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1247143"/>
        <c:axId val="36679278"/>
      </c:lineChart>
      <c:catAx>
        <c:axId val="512471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S_T (USD per EUR)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679278"/>
        <c:crosses val="autoZero"/>
        <c:auto val="1"/>
        <c:lblAlgn val="ctr"/>
        <c:lblOffset val="100"/>
        <c:noMultiLvlLbl val="0"/>
      </c:catAx>
      <c:valAx>
        <c:axId val="366792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USD Proceeds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2471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0</xdr:rowOff>
    </xdr:from>
    <xdr:to>
      <xdr:col>8</xdr:col>
      <xdr:colOff>307080</xdr:colOff>
      <xdr:row>42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showGridLines="0" topLeftCell="A4" zoomScaleNormal="100" workbookViewId="0">
      <selection activeCell="B27" sqref="B27"/>
    </sheetView>
  </sheetViews>
  <sheetFormatPr baseColWidth="10" defaultColWidth="8.6640625" defaultRowHeight="15"/>
  <cols>
    <col min="1" max="1" width="30" customWidth="1"/>
    <col min="2" max="2" width="55" customWidth="1"/>
    <col min="3" max="6" width="4" customWidth="1"/>
  </cols>
  <sheetData>
    <row r="1" spans="1:6" ht="25.5" customHeight="1">
      <c r="A1" s="9" t="s">
        <v>0</v>
      </c>
      <c r="B1" s="9"/>
      <c r="C1" s="9"/>
      <c r="D1" s="9"/>
      <c r="E1" s="9"/>
      <c r="F1" s="9"/>
    </row>
    <row r="2" spans="1:6">
      <c r="A2" s="8" t="s">
        <v>1</v>
      </c>
      <c r="B2" s="8"/>
      <c r="C2" s="8"/>
      <c r="D2" s="8"/>
      <c r="E2" s="8"/>
      <c r="F2" s="8"/>
    </row>
    <row r="4" spans="1:6" ht="23">
      <c r="A4" s="10" t="s">
        <v>2</v>
      </c>
    </row>
    <row r="5" spans="1:6" ht="16">
      <c r="A5" s="11" t="s">
        <v>3</v>
      </c>
    </row>
    <row r="7" spans="1:6" ht="30" customHeight="1">
      <c r="A7" s="12" t="s">
        <v>4</v>
      </c>
      <c r="B7" s="13" t="s">
        <v>5</v>
      </c>
    </row>
    <row r="8" spans="1:6" ht="15.75" customHeight="1">
      <c r="A8" s="12" t="s">
        <v>6</v>
      </c>
      <c r="B8" s="13" t="s">
        <v>7</v>
      </c>
    </row>
    <row r="9" spans="1:6" ht="15.75" customHeight="1">
      <c r="A9" s="12" t="s">
        <v>8</v>
      </c>
      <c r="B9" s="13" t="s">
        <v>7</v>
      </c>
    </row>
    <row r="10" spans="1:6" ht="15.75" customHeight="1">
      <c r="A10" s="12" t="s">
        <v>9</v>
      </c>
      <c r="B10" s="13" t="s">
        <v>10</v>
      </c>
    </row>
    <row r="11" spans="1:6" ht="15.75" customHeight="1">
      <c r="A11" s="12" t="s">
        <v>11</v>
      </c>
      <c r="B11" s="13" t="s">
        <v>12</v>
      </c>
    </row>
    <row r="12" spans="1:6" ht="15.75" customHeight="1">
      <c r="A12" s="12" t="s">
        <v>13</v>
      </c>
      <c r="B12" s="13" t="s">
        <v>14</v>
      </c>
    </row>
    <row r="13" spans="1:6" ht="15.75" customHeight="1">
      <c r="A13" s="12" t="s">
        <v>15</v>
      </c>
      <c r="B13" s="13" t="s">
        <v>14</v>
      </c>
    </row>
    <row r="14" spans="1:6" ht="15.75" customHeight="1">
      <c r="A14" s="12" t="s">
        <v>16</v>
      </c>
      <c r="B14" s="13" t="s">
        <v>17</v>
      </c>
    </row>
    <row r="15" spans="1:6" ht="30" customHeight="1">
      <c r="A15" s="12" t="s">
        <v>18</v>
      </c>
      <c r="B15" s="13" t="s">
        <v>19</v>
      </c>
    </row>
    <row r="16" spans="1:6" ht="30" customHeight="1">
      <c r="A16" s="12" t="s">
        <v>20</v>
      </c>
      <c r="B16" s="13" t="s">
        <v>21</v>
      </c>
    </row>
    <row r="18" spans="1:6" ht="16">
      <c r="A18" s="7" t="s">
        <v>22</v>
      </c>
      <c r="B18" s="7"/>
      <c r="C18" s="7"/>
      <c r="D18" s="7"/>
      <c r="E18" s="7"/>
      <c r="F18" s="7"/>
    </row>
    <row r="19" spans="1:6" ht="27.75" customHeight="1">
      <c r="A19" s="6" t="s">
        <v>23</v>
      </c>
      <c r="B19" s="6"/>
    </row>
    <row r="21" spans="1:6">
      <c r="A21" s="15" t="s">
        <v>24</v>
      </c>
    </row>
    <row r="22" spans="1:6" ht="15" customHeight="1">
      <c r="A22" s="5" t="s">
        <v>25</v>
      </c>
      <c r="B22" s="5"/>
      <c r="C22" s="5"/>
      <c r="D22" s="5"/>
      <c r="E22" s="5"/>
      <c r="F22" s="5"/>
    </row>
    <row r="23" spans="1:6">
      <c r="A23" s="5"/>
      <c r="B23" s="5"/>
      <c r="C23" s="5"/>
      <c r="D23" s="5"/>
      <c r="E23" s="5"/>
      <c r="F23" s="5"/>
    </row>
    <row r="24" spans="1:6">
      <c r="A24" s="5"/>
      <c r="B24" s="5"/>
      <c r="C24" s="5"/>
      <c r="D24" s="5"/>
      <c r="E24" s="5"/>
      <c r="F24" s="5"/>
    </row>
    <row r="26" spans="1:6" ht="16">
      <c r="A26" s="7" t="s">
        <v>26</v>
      </c>
      <c r="B26" s="7"/>
      <c r="C26" s="7"/>
      <c r="D26" s="7"/>
      <c r="E26" s="7"/>
      <c r="F26" s="7"/>
    </row>
    <row r="27" spans="1:6">
      <c r="A27" s="16" t="s">
        <v>27</v>
      </c>
      <c r="B27" s="16" t="s">
        <v>28</v>
      </c>
    </row>
    <row r="28" spans="1:6">
      <c r="A28" s="16" t="s">
        <v>29</v>
      </c>
      <c r="B28" s="16" t="s">
        <v>30</v>
      </c>
    </row>
  </sheetData>
  <mergeCells count="6">
    <mergeCell ref="A26:F26"/>
    <mergeCell ref="A1:F1"/>
    <mergeCell ref="A2:F2"/>
    <mergeCell ref="A18:F18"/>
    <mergeCell ref="A19:B19"/>
    <mergeCell ref="A22:F2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showGridLines="0" zoomScaleNormal="100" workbookViewId="0">
      <selection sqref="A1:F1"/>
    </sheetView>
  </sheetViews>
  <sheetFormatPr baseColWidth="10" defaultColWidth="8.6640625" defaultRowHeight="15"/>
  <cols>
    <col min="1" max="1" width="22" customWidth="1"/>
    <col min="2" max="2" width="50" customWidth="1"/>
    <col min="3" max="4" width="4" customWidth="1"/>
  </cols>
  <sheetData>
    <row r="1" spans="1:6" ht="25.5" customHeight="1">
      <c r="A1" s="9" t="s">
        <v>31</v>
      </c>
      <c r="B1" s="9"/>
      <c r="C1" s="9"/>
      <c r="D1" s="9"/>
      <c r="E1" s="9"/>
      <c r="F1" s="9"/>
    </row>
    <row r="2" spans="1:6">
      <c r="A2" s="8" t="s">
        <v>32</v>
      </c>
      <c r="B2" s="8"/>
      <c r="C2" s="8"/>
      <c r="D2" s="8"/>
      <c r="E2" s="8"/>
      <c r="F2" s="8"/>
    </row>
    <row r="4" spans="1:6">
      <c r="A4" s="17" t="s">
        <v>33</v>
      </c>
      <c r="B4" s="17" t="s">
        <v>34</v>
      </c>
      <c r="C4" s="17" t="s">
        <v>35</v>
      </c>
    </row>
    <row r="5" spans="1:6" ht="30" customHeight="1">
      <c r="A5" s="18" t="s">
        <v>36</v>
      </c>
      <c r="B5" s="14" t="s">
        <v>37</v>
      </c>
      <c r="C5" s="19" t="s">
        <v>38</v>
      </c>
    </row>
    <row r="6" spans="1:6" ht="30" customHeight="1">
      <c r="A6" s="20" t="s">
        <v>39</v>
      </c>
      <c r="B6" s="14" t="s">
        <v>40</v>
      </c>
      <c r="C6" s="21" t="s">
        <v>41</v>
      </c>
    </row>
    <row r="7" spans="1:6" ht="30" customHeight="1">
      <c r="A7" s="22" t="s">
        <v>42</v>
      </c>
      <c r="B7" s="14" t="s">
        <v>43</v>
      </c>
      <c r="C7" s="23">
        <f>FC_AMT*F0_in</f>
        <v>9353680</v>
      </c>
    </row>
    <row r="8" spans="1:6" ht="30" customHeight="1">
      <c r="A8" s="24" t="s">
        <v>44</v>
      </c>
      <c r="B8" s="14" t="s">
        <v>45</v>
      </c>
      <c r="C8" s="12" t="s">
        <v>46</v>
      </c>
    </row>
    <row r="10" spans="1:6" ht="16">
      <c r="A10" s="7" t="s">
        <v>47</v>
      </c>
      <c r="B10" s="7"/>
      <c r="C10" s="7"/>
      <c r="D10" s="7"/>
      <c r="E10" s="7"/>
      <c r="F10" s="7"/>
    </row>
    <row r="11" spans="1:6">
      <c r="A11" s="17" t="s">
        <v>48</v>
      </c>
      <c r="B11" s="17" t="s">
        <v>49</v>
      </c>
    </row>
    <row r="12" spans="1:6" ht="25.5" customHeight="1">
      <c r="A12" s="25" t="s">
        <v>50</v>
      </c>
      <c r="B12" s="14" t="s">
        <v>51</v>
      </c>
    </row>
    <row r="13" spans="1:6" ht="25.5" customHeight="1">
      <c r="A13" s="25" t="s">
        <v>52</v>
      </c>
      <c r="B13" s="14" t="s">
        <v>53</v>
      </c>
    </row>
    <row r="14" spans="1:6" ht="25.5" customHeight="1">
      <c r="A14" s="25" t="s">
        <v>54</v>
      </c>
      <c r="B14" s="14" t="s">
        <v>55</v>
      </c>
    </row>
    <row r="15" spans="1:6" ht="25.5" customHeight="1">
      <c r="A15" s="25" t="s">
        <v>56</v>
      </c>
      <c r="B15" s="14" t="s">
        <v>57</v>
      </c>
    </row>
    <row r="16" spans="1:6" ht="25.5" customHeight="1">
      <c r="A16" s="25" t="s">
        <v>58</v>
      </c>
      <c r="B16" s="14" t="s">
        <v>59</v>
      </c>
    </row>
    <row r="17" spans="1:2" ht="25.5" customHeight="1">
      <c r="A17" s="25" t="s">
        <v>60</v>
      </c>
      <c r="B17" s="14" t="s">
        <v>61</v>
      </c>
    </row>
    <row r="18" spans="1:2" ht="25.5" customHeight="1">
      <c r="A18" s="25" t="s">
        <v>62</v>
      </c>
      <c r="B18" s="14" t="s">
        <v>63</v>
      </c>
    </row>
    <row r="19" spans="1:2" ht="25.5" customHeight="1">
      <c r="A19" s="25" t="s">
        <v>64</v>
      </c>
      <c r="B19" s="14" t="s">
        <v>65</v>
      </c>
    </row>
  </sheetData>
  <mergeCells count="3">
    <mergeCell ref="A1:F1"/>
    <mergeCell ref="A2:F2"/>
    <mergeCell ref="A10:F1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showGridLines="0" tabSelected="1" zoomScaleNormal="100" workbookViewId="0">
      <selection activeCell="C16" sqref="C16"/>
    </sheetView>
  </sheetViews>
  <sheetFormatPr baseColWidth="10" defaultColWidth="8.6640625" defaultRowHeight="15"/>
  <cols>
    <col min="1" max="1" width="42" customWidth="1"/>
    <col min="2" max="3" width="14" customWidth="1"/>
    <col min="4" max="4" width="10" customWidth="1"/>
    <col min="5" max="5" width="42" customWidth="1"/>
    <col min="6" max="6" width="20" customWidth="1"/>
  </cols>
  <sheetData>
    <row r="1" spans="1:6" ht="25.5" customHeight="1">
      <c r="A1" s="9" t="s">
        <v>66</v>
      </c>
      <c r="B1" s="9"/>
      <c r="C1" s="9"/>
      <c r="D1" s="9"/>
      <c r="E1" s="9"/>
      <c r="F1" s="9"/>
    </row>
    <row r="2" spans="1:6">
      <c r="A2" s="8" t="s">
        <v>67</v>
      </c>
      <c r="B2" s="8"/>
      <c r="C2" s="8"/>
      <c r="D2" s="8"/>
      <c r="E2" s="8"/>
      <c r="F2" s="8"/>
    </row>
    <row r="4" spans="1:6">
      <c r="A4" s="17" t="s">
        <v>68</v>
      </c>
      <c r="B4" s="17" t="s">
        <v>69</v>
      </c>
      <c r="C4" s="17" t="s">
        <v>70</v>
      </c>
      <c r="D4" s="17" t="s">
        <v>71</v>
      </c>
      <c r="E4" s="17" t="s">
        <v>72</v>
      </c>
      <c r="F4" s="17" t="s">
        <v>73</v>
      </c>
    </row>
    <row r="5" spans="1:6" ht="27.75" customHeight="1">
      <c r="A5" s="16" t="s">
        <v>74</v>
      </c>
      <c r="B5" s="26" t="s">
        <v>75</v>
      </c>
      <c r="C5" s="27">
        <v>8000000</v>
      </c>
      <c r="D5" s="16" t="s">
        <v>76</v>
      </c>
      <c r="E5" s="28" t="s">
        <v>77</v>
      </c>
      <c r="F5" s="29" t="s">
        <v>78</v>
      </c>
    </row>
    <row r="6" spans="1:6" ht="27.75" customHeight="1">
      <c r="A6" s="16" t="s">
        <v>79</v>
      </c>
      <c r="B6" s="26" t="s">
        <v>80</v>
      </c>
      <c r="C6" s="45">
        <v>1.1561600000000001</v>
      </c>
      <c r="D6" s="16" t="s">
        <v>81</v>
      </c>
      <c r="E6" s="28" t="s">
        <v>82</v>
      </c>
      <c r="F6" s="29" t="s">
        <v>83</v>
      </c>
    </row>
    <row r="7" spans="1:6" ht="27.75" customHeight="1">
      <c r="A7" s="16" t="s">
        <v>84</v>
      </c>
      <c r="B7" s="26" t="s">
        <v>85</v>
      </c>
      <c r="C7" s="45">
        <v>1.1692100000000001</v>
      </c>
      <c r="D7" s="16" t="s">
        <v>81</v>
      </c>
      <c r="E7" s="28" t="s">
        <v>86</v>
      </c>
      <c r="F7" s="29" t="s">
        <v>87</v>
      </c>
    </row>
    <row r="8" spans="1:6" ht="27.75" customHeight="1">
      <c r="A8" s="16" t="s">
        <v>88</v>
      </c>
      <c r="B8" s="26" t="s">
        <v>89</v>
      </c>
      <c r="C8" s="44">
        <v>4.0300000000000002E-2</v>
      </c>
      <c r="D8" s="16" t="s">
        <v>90</v>
      </c>
      <c r="E8" s="28" t="s">
        <v>91</v>
      </c>
      <c r="F8" s="29" t="s">
        <v>83</v>
      </c>
    </row>
    <row r="9" spans="1:6" ht="27.75" customHeight="1">
      <c r="A9" s="16" t="s">
        <v>92</v>
      </c>
      <c r="B9" s="26" t="s">
        <v>93</v>
      </c>
      <c r="C9" s="31">
        <v>2.8840000000000001E-2</v>
      </c>
      <c r="D9" s="16" t="s">
        <v>90</v>
      </c>
      <c r="E9" s="28" t="s">
        <v>94</v>
      </c>
      <c r="F9" s="29" t="s">
        <v>83</v>
      </c>
    </row>
    <row r="10" spans="1:6" ht="27.75" customHeight="1">
      <c r="A10" s="16" t="s">
        <v>95</v>
      </c>
      <c r="B10" s="26" t="s">
        <v>96</v>
      </c>
      <c r="C10" s="20">
        <v>365</v>
      </c>
      <c r="D10" s="16" t="s">
        <v>97</v>
      </c>
      <c r="E10" s="28" t="s">
        <v>98</v>
      </c>
      <c r="F10" s="29" t="s">
        <v>99</v>
      </c>
    </row>
    <row r="11" spans="1:6" ht="27.75" customHeight="1">
      <c r="A11" s="16" t="s">
        <v>100</v>
      </c>
      <c r="B11" s="26" t="s">
        <v>101</v>
      </c>
      <c r="C11" s="20">
        <v>360</v>
      </c>
      <c r="D11" s="16" t="s">
        <v>97</v>
      </c>
      <c r="E11" s="28" t="s">
        <v>102</v>
      </c>
      <c r="F11" s="29" t="s">
        <v>103</v>
      </c>
    </row>
    <row r="12" spans="1:6" ht="27.75" customHeight="1">
      <c r="A12" s="16" t="s">
        <v>104</v>
      </c>
      <c r="B12" s="26" t="s">
        <v>105</v>
      </c>
      <c r="C12" s="46">
        <f>S0_in</f>
        <v>1.1561600000000001</v>
      </c>
      <c r="D12" s="16" t="s">
        <v>81</v>
      </c>
      <c r="E12" s="28" t="s">
        <v>106</v>
      </c>
      <c r="F12" s="29" t="s">
        <v>107</v>
      </c>
    </row>
    <row r="13" spans="1:6" ht="27.75" customHeight="1">
      <c r="A13" s="16" t="s">
        <v>108</v>
      </c>
      <c r="B13" s="26" t="s">
        <v>109</v>
      </c>
      <c r="C13" s="46">
        <f>S0_in</f>
        <v>1.1561600000000001</v>
      </c>
      <c r="D13" s="16" t="s">
        <v>81</v>
      </c>
      <c r="E13" s="28" t="s">
        <v>106</v>
      </c>
      <c r="F13" s="29" t="s">
        <v>107</v>
      </c>
    </row>
    <row r="14" spans="1:6" ht="27.75" customHeight="1">
      <c r="A14" s="16" t="s">
        <v>110</v>
      </c>
      <c r="B14" s="26" t="s">
        <v>111</v>
      </c>
      <c r="C14" s="30">
        <v>1.7999999999999999E-2</v>
      </c>
      <c r="D14" s="16" t="s">
        <v>112</v>
      </c>
      <c r="E14" s="28" t="s">
        <v>113</v>
      </c>
      <c r="F14" s="29" t="s">
        <v>83</v>
      </c>
    </row>
    <row r="15" spans="1:6" ht="27.75" customHeight="1">
      <c r="A15" s="16" t="s">
        <v>114</v>
      </c>
      <c r="B15" s="26" t="s">
        <v>115</v>
      </c>
      <c r="C15" s="30">
        <v>1.7500000000000002E-2</v>
      </c>
      <c r="D15" s="16" t="s">
        <v>112</v>
      </c>
      <c r="E15" s="28" t="s">
        <v>113</v>
      </c>
      <c r="F15" s="29" t="s">
        <v>83</v>
      </c>
    </row>
    <row r="16" spans="1:6" ht="27.75" customHeight="1">
      <c r="A16" s="16" t="s">
        <v>116</v>
      </c>
      <c r="B16" s="26" t="s">
        <v>117</v>
      </c>
      <c r="C16" s="32">
        <v>0.01</v>
      </c>
      <c r="D16" s="16" t="s">
        <v>90</v>
      </c>
      <c r="E16" s="28" t="s">
        <v>118</v>
      </c>
      <c r="F16" s="29" t="s">
        <v>119</v>
      </c>
    </row>
    <row r="18" spans="1:6" ht="16">
      <c r="A18" s="7" t="s">
        <v>120</v>
      </c>
      <c r="B18" s="7"/>
      <c r="C18" s="7"/>
      <c r="D18" s="7"/>
      <c r="E18" s="7"/>
      <c r="F18" s="7"/>
    </row>
    <row r="20" spans="1:6" ht="21.75" customHeight="1">
      <c r="A20" s="16" t="s">
        <v>121</v>
      </c>
      <c r="B20" s="26" t="s">
        <v>122</v>
      </c>
      <c r="C20" s="33">
        <f>1+R_USD*T_DAYS/BASIS</f>
        <v>1.0408597222222222</v>
      </c>
      <c r="F20" s="29" t="s">
        <v>123</v>
      </c>
    </row>
    <row r="21" spans="1:6" ht="21.75" customHeight="1">
      <c r="A21" s="16" t="s">
        <v>124</v>
      </c>
      <c r="B21" s="26" t="s">
        <v>125</v>
      </c>
      <c r="C21" s="33">
        <f>1+R_FC*T_DAYS/BASIS</f>
        <v>1.0292405555555555</v>
      </c>
      <c r="F21" s="29" t="s">
        <v>126</v>
      </c>
    </row>
    <row r="22" spans="1:6" ht="21.75" customHeight="1">
      <c r="A22" s="16" t="s">
        <v>127</v>
      </c>
      <c r="B22" s="26" t="s">
        <v>128</v>
      </c>
      <c r="C22" s="34">
        <f>-PREM_PUT*FC_AMT*DF_USD</f>
        <v>-149883.79999999999</v>
      </c>
      <c r="F22" s="29" t="s">
        <v>129</v>
      </c>
    </row>
    <row r="23" spans="1:6" ht="21.75" customHeight="1">
      <c r="A23" s="16" t="s">
        <v>130</v>
      </c>
      <c r="B23" s="26" t="s">
        <v>131</v>
      </c>
      <c r="C23" s="34">
        <f>-PREM_CALL*FC_AMT*DF_USD</f>
        <v>-145720.36111111112</v>
      </c>
      <c r="F23" s="29" t="s">
        <v>132</v>
      </c>
    </row>
  </sheetData>
  <mergeCells count="3">
    <mergeCell ref="A1:F1"/>
    <mergeCell ref="A2:F2"/>
    <mergeCell ref="A18:F18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showGridLines="0" zoomScaleNormal="100" workbookViewId="0">
      <selection activeCell="B6" sqref="B6"/>
    </sheetView>
  </sheetViews>
  <sheetFormatPr baseColWidth="10" defaultColWidth="8.6640625" defaultRowHeight="15"/>
  <cols>
    <col min="1" max="1" width="40" customWidth="1"/>
    <col min="2" max="2" width="18" customWidth="1"/>
    <col min="3" max="6" width="4" customWidth="1"/>
  </cols>
  <sheetData>
    <row r="1" spans="1:6" ht="25.5" customHeight="1">
      <c r="A1" s="9" t="s">
        <v>133</v>
      </c>
      <c r="B1" s="9"/>
      <c r="C1" s="9"/>
      <c r="D1" s="9"/>
      <c r="E1" s="9"/>
      <c r="F1" s="9"/>
    </row>
    <row r="2" spans="1:6">
      <c r="A2" s="8" t="s">
        <v>134</v>
      </c>
      <c r="B2" s="8"/>
      <c r="C2" s="8"/>
      <c r="D2" s="8"/>
      <c r="E2" s="8"/>
      <c r="F2" s="8"/>
    </row>
    <row r="4" spans="1:6" ht="16">
      <c r="A4" s="7" t="s">
        <v>135</v>
      </c>
      <c r="B4" s="7"/>
      <c r="C4" s="7"/>
      <c r="D4" s="7"/>
      <c r="E4" s="7"/>
      <c r="F4" s="7"/>
    </row>
    <row r="5" spans="1:6">
      <c r="A5" s="16" t="s">
        <v>136</v>
      </c>
      <c r="B5" s="35">
        <f>FC_AMT</f>
        <v>8000000</v>
      </c>
    </row>
    <row r="6" spans="1:6">
      <c r="A6" s="16" t="s">
        <v>137</v>
      </c>
      <c r="B6" s="36">
        <f>F0_in</f>
        <v>1.1692100000000001</v>
      </c>
    </row>
    <row r="8" spans="1:6" ht="16">
      <c r="A8" s="7" t="s">
        <v>138</v>
      </c>
      <c r="B8" s="7"/>
      <c r="C8" s="7"/>
      <c r="D8" s="7"/>
      <c r="E8" s="7"/>
      <c r="F8" s="7"/>
    </row>
    <row r="9" spans="1:6">
      <c r="A9" s="12" t="s">
        <v>139</v>
      </c>
      <c r="B9" s="37">
        <f>FC_AMT*F0_in</f>
        <v>9353680</v>
      </c>
    </row>
    <row r="10" spans="1:6">
      <c r="A10" s="38" t="s">
        <v>140</v>
      </c>
    </row>
  </sheetData>
  <mergeCells count="4">
    <mergeCell ref="A1:F1"/>
    <mergeCell ref="A2:F2"/>
    <mergeCell ref="A4:F4"/>
    <mergeCell ref="A8:F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"/>
  <sheetViews>
    <sheetView showGridLines="0" zoomScaleNormal="100" workbookViewId="0">
      <selection sqref="A1:F1"/>
    </sheetView>
  </sheetViews>
  <sheetFormatPr baseColWidth="10" defaultColWidth="8.6640625" defaultRowHeight="15"/>
  <cols>
    <col min="1" max="1" width="46" customWidth="1"/>
    <col min="2" max="2" width="18" customWidth="1"/>
    <col min="3" max="6" width="4" customWidth="1"/>
  </cols>
  <sheetData>
    <row r="1" spans="1:6" ht="25.5" customHeight="1">
      <c r="A1" s="9" t="s">
        <v>141</v>
      </c>
      <c r="B1" s="9"/>
      <c r="C1" s="9"/>
      <c r="D1" s="9"/>
      <c r="E1" s="9"/>
      <c r="F1" s="9"/>
    </row>
    <row r="2" spans="1:6">
      <c r="A2" s="8" t="s">
        <v>142</v>
      </c>
      <c r="B2" s="8"/>
      <c r="C2" s="8"/>
      <c r="D2" s="8"/>
      <c r="E2" s="8"/>
      <c r="F2" s="8"/>
    </row>
    <row r="4" spans="1:6" ht="16">
      <c r="A4" s="7" t="s">
        <v>143</v>
      </c>
      <c r="B4" s="7"/>
      <c r="C4" s="7"/>
      <c r="D4" s="7"/>
      <c r="E4" s="7"/>
      <c r="F4" s="7"/>
    </row>
    <row r="5" spans="1:6">
      <c r="A5" s="16" t="s">
        <v>144</v>
      </c>
      <c r="B5" s="39">
        <f>FC_AMT/DF_FC</f>
        <v>7772721.310696722</v>
      </c>
    </row>
    <row r="7" spans="1:6" ht="16">
      <c r="A7" s="7" t="s">
        <v>145</v>
      </c>
      <c r="B7" s="7"/>
      <c r="C7" s="7"/>
      <c r="D7" s="7"/>
      <c r="E7" s="7"/>
      <c r="F7" s="7"/>
    </row>
    <row r="8" spans="1:6">
      <c r="A8" s="16" t="s">
        <v>146</v>
      </c>
      <c r="B8" s="34">
        <f>B5*S0_in</f>
        <v>8986509.4705751222</v>
      </c>
    </row>
    <row r="10" spans="1:6" ht="16">
      <c r="A10" s="7" t="s">
        <v>147</v>
      </c>
      <c r="B10" s="7"/>
      <c r="C10" s="7"/>
      <c r="D10" s="7"/>
      <c r="E10" s="7"/>
      <c r="F10" s="7"/>
    </row>
    <row r="11" spans="1:6">
      <c r="A11" s="12" t="s">
        <v>148</v>
      </c>
      <c r="B11" s="37">
        <f>B8*DF_USD</f>
        <v>9353695.751290191</v>
      </c>
    </row>
    <row r="12" spans="1:6">
      <c r="A12" s="38" t="s">
        <v>149</v>
      </c>
    </row>
    <row r="13" spans="1:6" ht="22.25" customHeight="1">
      <c r="A13" s="4" t="s">
        <v>150</v>
      </c>
      <c r="B13" s="4"/>
      <c r="C13" s="4"/>
      <c r="D13" s="4"/>
    </row>
    <row r="15" spans="1:6" ht="16">
      <c r="A15" s="7" t="s">
        <v>151</v>
      </c>
      <c r="B15" s="7"/>
      <c r="C15" s="7"/>
      <c r="D15" s="7"/>
      <c r="E15" s="7"/>
      <c r="F15" s="7"/>
    </row>
    <row r="16" spans="1:6">
      <c r="A16" s="16" t="s">
        <v>152</v>
      </c>
      <c r="B16" s="22" t="b">
        <f>ABS(USD_MM-USD_FWD)&lt;=0.0005*ABS(USD_FWD)</f>
        <v>1</v>
      </c>
    </row>
    <row r="17" spans="1:2">
      <c r="A17" s="16" t="s">
        <v>153</v>
      </c>
      <c r="B17" s="40" t="str">
        <f>IF(B16,"PASS","FAIL")</f>
        <v>PASS</v>
      </c>
    </row>
  </sheetData>
  <mergeCells count="7">
    <mergeCell ref="A13:D13"/>
    <mergeCell ref="A15:F15"/>
    <mergeCell ref="A1:F1"/>
    <mergeCell ref="A2:F2"/>
    <mergeCell ref="A4:F4"/>
    <mergeCell ref="A7:F7"/>
    <mergeCell ref="A10:F10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0"/>
  <sheetViews>
    <sheetView showGridLines="0" zoomScaleNormal="100" workbookViewId="0">
      <selection activeCell="C26" sqref="C26:D26"/>
    </sheetView>
  </sheetViews>
  <sheetFormatPr baseColWidth="10" defaultColWidth="8.6640625" defaultRowHeight="15"/>
  <cols>
    <col min="1" max="1" width="40" customWidth="1"/>
    <col min="2" max="6" width="16" customWidth="1"/>
  </cols>
  <sheetData>
    <row r="1" spans="1:6" ht="25.5" customHeight="1">
      <c r="A1" s="9" t="s">
        <v>154</v>
      </c>
      <c r="B1" s="9"/>
      <c r="C1" s="9"/>
      <c r="D1" s="9"/>
      <c r="E1" s="9"/>
      <c r="F1" s="9"/>
    </row>
    <row r="2" spans="1:6">
      <c r="A2" s="8" t="s">
        <v>155</v>
      </c>
      <c r="B2" s="8"/>
      <c r="C2" s="8"/>
      <c r="D2" s="8"/>
      <c r="E2" s="8"/>
      <c r="F2" s="8"/>
    </row>
    <row r="4" spans="1:6" ht="16">
      <c r="A4" s="7" t="s">
        <v>156</v>
      </c>
      <c r="B4" s="7"/>
      <c r="C4" s="7"/>
      <c r="D4" s="7"/>
      <c r="E4" s="7"/>
      <c r="F4" s="7"/>
    </row>
    <row r="5" spans="1:6">
      <c r="A5" s="16" t="s">
        <v>157</v>
      </c>
      <c r="B5" s="36">
        <f>K_PUT</f>
        <v>1.1561600000000001</v>
      </c>
    </row>
    <row r="6" spans="1:6">
      <c r="A6" s="16" t="s">
        <v>158</v>
      </c>
      <c r="B6" s="36">
        <f>PREM_PUT</f>
        <v>1.7999999999999999E-2</v>
      </c>
    </row>
    <row r="7" spans="1:6">
      <c r="A7" s="12" t="s">
        <v>159</v>
      </c>
      <c r="B7" s="37">
        <f>PREM_PUT*FC_AMT</f>
        <v>144000</v>
      </c>
    </row>
    <row r="8" spans="1:6">
      <c r="A8" s="12" t="s">
        <v>160</v>
      </c>
      <c r="B8" s="37">
        <f>FV_PREM_PUT</f>
        <v>-149883.79999999999</v>
      </c>
    </row>
    <row r="10" spans="1:6">
      <c r="A10" s="12" t="s">
        <v>161</v>
      </c>
    </row>
    <row r="11" spans="1:6">
      <c r="A11" s="17" t="s">
        <v>4</v>
      </c>
      <c r="B11" s="17" t="s">
        <v>162</v>
      </c>
      <c r="C11" s="3" t="s">
        <v>163</v>
      </c>
      <c r="D11" s="3"/>
    </row>
    <row r="12" spans="1:6">
      <c r="A12" s="16" t="s">
        <v>164</v>
      </c>
      <c r="B12" s="36">
        <f>S0_in*(1+(-0.05))</f>
        <v>1.098352</v>
      </c>
      <c r="C12" s="2">
        <f>MAX(B12,K_PUT)*FC_AMT+FV_PREM_PUT</f>
        <v>9099396.1999999993</v>
      </c>
      <c r="D12" s="2"/>
    </row>
    <row r="13" spans="1:6">
      <c r="A13" s="16" t="s">
        <v>165</v>
      </c>
      <c r="B13" s="36">
        <f>S0_in*(1+(-0.025))</f>
        <v>1.127256</v>
      </c>
      <c r="C13" s="2">
        <f>MAX(B13,K_PUT)*FC_AMT+FV_PREM_PUT</f>
        <v>9099396.1999999993</v>
      </c>
      <c r="D13" s="2"/>
    </row>
    <row r="14" spans="1:6">
      <c r="A14" s="16" t="s">
        <v>166</v>
      </c>
      <c r="B14" s="36">
        <f>S0_in*(1+(0))</f>
        <v>1.1561600000000001</v>
      </c>
      <c r="C14" s="2">
        <f>MAX(B14,K_PUT)*FC_AMT+FV_PREM_PUT</f>
        <v>9099396.1999999993</v>
      </c>
      <c r="D14" s="2"/>
    </row>
    <row r="15" spans="1:6">
      <c r="A15" s="16" t="s">
        <v>167</v>
      </c>
      <c r="B15" s="36">
        <f>S0_in*(1+(0.025))</f>
        <v>1.1850639999999999</v>
      </c>
      <c r="C15" s="2">
        <f>MAX(B15,K_PUT)*FC_AMT+FV_PREM_PUT</f>
        <v>9330628.1999999993</v>
      </c>
      <c r="D15" s="2"/>
    </row>
    <row r="16" spans="1:6">
      <c r="A16" s="16" t="s">
        <v>168</v>
      </c>
      <c r="B16" s="36">
        <f>S0_in*(1+(0.05))</f>
        <v>1.2139680000000002</v>
      </c>
      <c r="C16" s="2">
        <f>MAX(B16,K_PUT)*FC_AMT+FV_PREM_PUT</f>
        <v>9561860.2000000011</v>
      </c>
      <c r="D16" s="2"/>
    </row>
    <row r="18" spans="1:6" ht="16">
      <c r="A18" s="7" t="s">
        <v>169</v>
      </c>
      <c r="B18" s="7"/>
      <c r="C18" s="7"/>
      <c r="D18" s="7"/>
      <c r="E18" s="7"/>
      <c r="F18" s="7"/>
    </row>
    <row r="19" spans="1:6">
      <c r="A19" s="16" t="s">
        <v>170</v>
      </c>
      <c r="B19" s="36">
        <f>K_CALL</f>
        <v>1.1561600000000001</v>
      </c>
    </row>
    <row r="20" spans="1:6">
      <c r="A20" s="16" t="s">
        <v>171</v>
      </c>
      <c r="B20" s="36">
        <f>PREM_CALL</f>
        <v>1.7500000000000002E-2</v>
      </c>
    </row>
    <row r="21" spans="1:6">
      <c r="A21" s="12" t="s">
        <v>172</v>
      </c>
      <c r="B21" s="37">
        <f>PREM_CALL*FC_AMT</f>
        <v>140000</v>
      </c>
    </row>
    <row r="22" spans="1:6">
      <c r="A22" s="12" t="s">
        <v>173</v>
      </c>
      <c r="B22" s="37">
        <f>FV_PREM_CALL</f>
        <v>-145720.36111111112</v>
      </c>
    </row>
    <row r="24" spans="1:6">
      <c r="A24" s="12" t="s">
        <v>174</v>
      </c>
    </row>
    <row r="25" spans="1:6">
      <c r="A25" s="17" t="s">
        <v>4</v>
      </c>
      <c r="B25" s="17" t="s">
        <v>162</v>
      </c>
      <c r="C25" s="3" t="s">
        <v>175</v>
      </c>
      <c r="D25" s="3"/>
    </row>
    <row r="26" spans="1:6">
      <c r="A26" s="16" t="s">
        <v>164</v>
      </c>
      <c r="B26" s="36">
        <f>S0_in*(1+(-0.05))</f>
        <v>1.098352</v>
      </c>
      <c r="C26" s="2">
        <f>MIN(B26,K_CALL)*FC_AMT-FV_PREM_CALL</f>
        <v>8932536.3611111119</v>
      </c>
      <c r="D26" s="2"/>
    </row>
    <row r="27" spans="1:6">
      <c r="A27" s="16" t="s">
        <v>165</v>
      </c>
      <c r="B27" s="36">
        <f>S0_in*(1+(-0.025))</f>
        <v>1.127256</v>
      </c>
      <c r="C27" s="2">
        <f>MIN(B27,K_CALL)*FC_AMT-FV_PREM_CALL</f>
        <v>9163768.3611111119</v>
      </c>
      <c r="D27" s="2"/>
    </row>
    <row r="28" spans="1:6">
      <c r="A28" s="16" t="s">
        <v>166</v>
      </c>
      <c r="B28" s="36">
        <f>S0_in*(1+(0))</f>
        <v>1.1561600000000001</v>
      </c>
      <c r="C28" s="2">
        <f>MIN(B28,K_CALL)*FC_AMT-FV_PREM_CALL</f>
        <v>9395000.3611111119</v>
      </c>
      <c r="D28" s="2"/>
    </row>
    <row r="29" spans="1:6">
      <c r="A29" s="16" t="s">
        <v>167</v>
      </c>
      <c r="B29" s="36">
        <f>S0_in*(1+(0.025))</f>
        <v>1.1850639999999999</v>
      </c>
      <c r="C29" s="2">
        <f>MIN(B29,K_CALL)*FC_AMT-FV_PREM_CALL</f>
        <v>9395000.3611111119</v>
      </c>
      <c r="D29" s="2"/>
    </row>
    <row r="30" spans="1:6">
      <c r="A30" s="16" t="s">
        <v>168</v>
      </c>
      <c r="B30" s="36">
        <f>S0_in*(1+(0.05))</f>
        <v>1.2139680000000002</v>
      </c>
      <c r="C30" s="2">
        <f>MIN(B30,K_CALL)*FC_AMT-FV_PREM_CALL</f>
        <v>9395000.3611111119</v>
      </c>
      <c r="D30" s="2"/>
    </row>
  </sheetData>
  <mergeCells count="16">
    <mergeCell ref="C30:D30"/>
    <mergeCell ref="C25:D25"/>
    <mergeCell ref="C26:D26"/>
    <mergeCell ref="C27:D27"/>
    <mergeCell ref="C28:D28"/>
    <mergeCell ref="C29:D29"/>
    <mergeCell ref="C13:D13"/>
    <mergeCell ref="C14:D14"/>
    <mergeCell ref="C15:D15"/>
    <mergeCell ref="C16:D16"/>
    <mergeCell ref="A18:F18"/>
    <mergeCell ref="A1:F1"/>
    <mergeCell ref="A2:F2"/>
    <mergeCell ref="A4:F4"/>
    <mergeCell ref="C11:D11"/>
    <mergeCell ref="C12:D1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6"/>
  <sheetViews>
    <sheetView showGridLines="0" zoomScaleNormal="100" workbookViewId="0">
      <selection activeCell="J38" sqref="J38"/>
    </sheetView>
  </sheetViews>
  <sheetFormatPr baseColWidth="10" defaultColWidth="8.6640625" defaultRowHeight="15"/>
  <cols>
    <col min="1" max="1" width="8" customWidth="1"/>
    <col min="2" max="2" width="12" customWidth="1"/>
    <col min="3" max="6" width="15" customWidth="1"/>
    <col min="7" max="9" width="14" customWidth="1"/>
    <col min="10" max="11" width="18" customWidth="1"/>
  </cols>
  <sheetData>
    <row r="1" spans="1:11" ht="25.5" customHeight="1">
      <c r="A1" s="9" t="s">
        <v>176</v>
      </c>
      <c r="B1" s="9"/>
      <c r="C1" s="9"/>
      <c r="D1" s="9"/>
      <c r="E1" s="9"/>
      <c r="F1" s="9"/>
    </row>
    <row r="2" spans="1:11">
      <c r="A2" s="8" t="s">
        <v>177</v>
      </c>
      <c r="B2" s="8"/>
      <c r="C2" s="8"/>
      <c r="D2" s="8"/>
      <c r="E2" s="8"/>
      <c r="F2" s="8"/>
    </row>
    <row r="4" spans="1:11" ht="30" customHeight="1">
      <c r="A4" s="41" t="s">
        <v>178</v>
      </c>
      <c r="B4" s="41" t="s">
        <v>162</v>
      </c>
      <c r="C4" s="41" t="s">
        <v>179</v>
      </c>
      <c r="D4" s="41" t="s">
        <v>180</v>
      </c>
      <c r="E4" s="41" t="s">
        <v>181</v>
      </c>
      <c r="F4" s="41" t="s">
        <v>182</v>
      </c>
      <c r="G4" s="41" t="s">
        <v>183</v>
      </c>
      <c r="H4" s="41" t="s">
        <v>184</v>
      </c>
      <c r="I4" s="41" t="s">
        <v>185</v>
      </c>
      <c r="J4" s="41" t="s">
        <v>186</v>
      </c>
      <c r="K4" s="41" t="s">
        <v>187</v>
      </c>
    </row>
    <row r="5" spans="1:11">
      <c r="A5" s="42">
        <f t="shared" ref="A5:A15" si="0">ROW()-10</f>
        <v>-5</v>
      </c>
      <c r="B5" s="36">
        <f t="shared" ref="B5:B15" si="1">S0_in*(1+A5*STEP_FRAC)</f>
        <v>1.098352</v>
      </c>
      <c r="C5" s="34">
        <f t="shared" ref="C5:C15" si="2">B5*FC_AMT</f>
        <v>8786816</v>
      </c>
      <c r="D5" s="34">
        <f t="shared" ref="D5:D15" si="3">USD_FWD</f>
        <v>9353680</v>
      </c>
      <c r="E5" s="34">
        <f t="shared" ref="E5:E15" si="4">USD_MM</f>
        <v>9353695.751290191</v>
      </c>
      <c r="F5" s="34">
        <f t="shared" ref="F5:F15" si="5">MAX(B5,K_PUT)*FC_AMT+FV_PREM_PUT</f>
        <v>9099396.1999999993</v>
      </c>
      <c r="G5" s="34">
        <f t="shared" ref="G5:G15" si="6">D5-C5</f>
        <v>566864</v>
      </c>
      <c r="H5" s="34">
        <f t="shared" ref="H5:H15" si="7">E5-C5</f>
        <v>566879.75129019096</v>
      </c>
      <c r="I5" s="34">
        <f t="shared" ref="I5:I15" si="8">F5-C5</f>
        <v>312580.19999999925</v>
      </c>
      <c r="J5" s="43" t="str">
        <f>INDEX({"No Hedge","Forward","Money Market","Option (Put)"},MATCH(MAX(C5:F5),C5:F5,0))</f>
        <v>Money Market</v>
      </c>
      <c r="K5" s="43" t="str">
        <f>INDEX({"Forward","Money Market","Option (Put)"},MATCH(MAX(D5:F5),D5:F5,0))</f>
        <v>Money Market</v>
      </c>
    </row>
    <row r="6" spans="1:11">
      <c r="A6" s="42">
        <f t="shared" si="0"/>
        <v>-4</v>
      </c>
      <c r="B6" s="36">
        <f t="shared" si="1"/>
        <v>1.1099136000000001</v>
      </c>
      <c r="C6" s="34">
        <f t="shared" si="2"/>
        <v>8879308.8000000007</v>
      </c>
      <c r="D6" s="34">
        <f t="shared" si="3"/>
        <v>9353680</v>
      </c>
      <c r="E6" s="34">
        <f t="shared" si="4"/>
        <v>9353695.751290191</v>
      </c>
      <c r="F6" s="34">
        <f t="shared" si="5"/>
        <v>9099396.1999999993</v>
      </c>
      <c r="G6" s="34">
        <f t="shared" si="6"/>
        <v>474371.19999999925</v>
      </c>
      <c r="H6" s="34">
        <f t="shared" si="7"/>
        <v>474386.95129019022</v>
      </c>
      <c r="I6" s="34">
        <f t="shared" si="8"/>
        <v>220087.39999999851</v>
      </c>
      <c r="J6" s="43" t="str">
        <f>INDEX({"No Hedge","Forward","Money Market","Option (Put)"},MATCH(MAX(C6:F6),C6:F6,0))</f>
        <v>Money Market</v>
      </c>
      <c r="K6" s="43" t="str">
        <f>INDEX({"Forward","Money Market","Option (Put)"},MATCH(MAX(D6:F6),D6:F6,0))</f>
        <v>Money Market</v>
      </c>
    </row>
    <row r="7" spans="1:11">
      <c r="A7" s="42">
        <f t="shared" si="0"/>
        <v>-3</v>
      </c>
      <c r="B7" s="36">
        <f t="shared" si="1"/>
        <v>1.1214752000000001</v>
      </c>
      <c r="C7" s="34">
        <f t="shared" si="2"/>
        <v>8971801.6000000015</v>
      </c>
      <c r="D7" s="34">
        <f t="shared" si="3"/>
        <v>9353680</v>
      </c>
      <c r="E7" s="34">
        <f t="shared" si="4"/>
        <v>9353695.751290191</v>
      </c>
      <c r="F7" s="34">
        <f t="shared" si="5"/>
        <v>9099396.1999999993</v>
      </c>
      <c r="G7" s="34">
        <f t="shared" si="6"/>
        <v>381878.39999999851</v>
      </c>
      <c r="H7" s="34">
        <f t="shared" si="7"/>
        <v>381894.15129018947</v>
      </c>
      <c r="I7" s="34">
        <f t="shared" si="8"/>
        <v>127594.59999999776</v>
      </c>
      <c r="J7" s="43" t="str">
        <f>INDEX({"No Hedge","Forward","Money Market","Option (Put)"},MATCH(MAX(C7:F7),C7:F7,0))</f>
        <v>Money Market</v>
      </c>
      <c r="K7" s="43" t="str">
        <f>INDEX({"Forward","Money Market","Option (Put)"},MATCH(MAX(D7:F7),D7:F7,0))</f>
        <v>Money Market</v>
      </c>
    </row>
    <row r="8" spans="1:11">
      <c r="A8" s="42">
        <f t="shared" si="0"/>
        <v>-2</v>
      </c>
      <c r="B8" s="36">
        <f t="shared" si="1"/>
        <v>1.1330368</v>
      </c>
      <c r="C8" s="34">
        <f t="shared" si="2"/>
        <v>9064294.4000000004</v>
      </c>
      <c r="D8" s="34">
        <f t="shared" si="3"/>
        <v>9353680</v>
      </c>
      <c r="E8" s="34">
        <f t="shared" si="4"/>
        <v>9353695.751290191</v>
      </c>
      <c r="F8" s="34">
        <f t="shared" si="5"/>
        <v>9099396.1999999993</v>
      </c>
      <c r="G8" s="34">
        <f t="shared" si="6"/>
        <v>289385.59999999963</v>
      </c>
      <c r="H8" s="34">
        <f t="shared" si="7"/>
        <v>289401.35129019059</v>
      </c>
      <c r="I8" s="34">
        <f t="shared" si="8"/>
        <v>35101.799999998882</v>
      </c>
      <c r="J8" s="43" t="str">
        <f>INDEX({"No Hedge","Forward","Money Market","Option (Put)"},MATCH(MAX(C8:F8),C8:F8,0))</f>
        <v>Money Market</v>
      </c>
      <c r="K8" s="43" t="str">
        <f>INDEX({"Forward","Money Market","Option (Put)"},MATCH(MAX(D8:F8),D8:F8,0))</f>
        <v>Money Market</v>
      </c>
    </row>
    <row r="9" spans="1:11">
      <c r="A9" s="42">
        <f t="shared" si="0"/>
        <v>-1</v>
      </c>
      <c r="B9" s="36">
        <f t="shared" si="1"/>
        <v>1.1445984</v>
      </c>
      <c r="C9" s="34">
        <f t="shared" si="2"/>
        <v>9156787.1999999993</v>
      </c>
      <c r="D9" s="34">
        <f t="shared" si="3"/>
        <v>9353680</v>
      </c>
      <c r="E9" s="34">
        <f t="shared" si="4"/>
        <v>9353695.751290191</v>
      </c>
      <c r="F9" s="34">
        <f t="shared" si="5"/>
        <v>9099396.1999999993</v>
      </c>
      <c r="G9" s="34">
        <f t="shared" si="6"/>
        <v>196892.80000000075</v>
      </c>
      <c r="H9" s="34">
        <f t="shared" si="7"/>
        <v>196908.55129019171</v>
      </c>
      <c r="I9" s="34">
        <f t="shared" si="8"/>
        <v>-57391</v>
      </c>
      <c r="J9" s="43" t="str">
        <f>INDEX({"No Hedge","Forward","Money Market","Option (Put)"},MATCH(MAX(C9:F9),C9:F9,0))</f>
        <v>Money Market</v>
      </c>
      <c r="K9" s="43" t="str">
        <f>INDEX({"Forward","Money Market","Option (Put)"},MATCH(MAX(D9:F9),D9:F9,0))</f>
        <v>Money Market</v>
      </c>
    </row>
    <row r="10" spans="1:11">
      <c r="A10" s="42">
        <f t="shared" si="0"/>
        <v>0</v>
      </c>
      <c r="B10" s="36">
        <f t="shared" si="1"/>
        <v>1.1561600000000001</v>
      </c>
      <c r="C10" s="34">
        <f t="shared" si="2"/>
        <v>9249280</v>
      </c>
      <c r="D10" s="34">
        <f t="shared" si="3"/>
        <v>9353680</v>
      </c>
      <c r="E10" s="34">
        <f t="shared" si="4"/>
        <v>9353695.751290191</v>
      </c>
      <c r="F10" s="34">
        <f t="shared" si="5"/>
        <v>9099396.1999999993</v>
      </c>
      <c r="G10" s="34">
        <f t="shared" si="6"/>
        <v>104400</v>
      </c>
      <c r="H10" s="34">
        <f t="shared" si="7"/>
        <v>104415.75129019096</v>
      </c>
      <c r="I10" s="34">
        <f t="shared" si="8"/>
        <v>-149883.80000000075</v>
      </c>
      <c r="J10" s="43" t="str">
        <f>INDEX({"No Hedge","Forward","Money Market","Option (Put)"},MATCH(MAX(C10:F10),C10:F10,0))</f>
        <v>Money Market</v>
      </c>
      <c r="K10" s="43" t="str">
        <f>INDEX({"Forward","Money Market","Option (Put)"},MATCH(MAX(D10:F10),D10:F10,0))</f>
        <v>Money Market</v>
      </c>
    </row>
    <row r="11" spans="1:11">
      <c r="A11" s="42">
        <f t="shared" si="0"/>
        <v>1</v>
      </c>
      <c r="B11" s="36">
        <f t="shared" si="1"/>
        <v>1.1677216000000001</v>
      </c>
      <c r="C11" s="34">
        <f t="shared" si="2"/>
        <v>9341772.8000000007</v>
      </c>
      <c r="D11" s="34">
        <f t="shared" si="3"/>
        <v>9353680</v>
      </c>
      <c r="E11" s="34">
        <f t="shared" si="4"/>
        <v>9353695.751290191</v>
      </c>
      <c r="F11" s="34">
        <f t="shared" si="5"/>
        <v>9191889</v>
      </c>
      <c r="G11" s="34">
        <f t="shared" si="6"/>
        <v>11907.199999999255</v>
      </c>
      <c r="H11" s="34">
        <f t="shared" si="7"/>
        <v>11922.95129019022</v>
      </c>
      <c r="I11" s="34">
        <f t="shared" si="8"/>
        <v>-149883.80000000075</v>
      </c>
      <c r="J11" s="43" t="str">
        <f>INDEX({"No Hedge","Forward","Money Market","Option (Put)"},MATCH(MAX(C11:F11),C11:F11,0))</f>
        <v>Money Market</v>
      </c>
      <c r="K11" s="43" t="str">
        <f>INDEX({"Forward","Money Market","Option (Put)"},MATCH(MAX(D11:F11),D11:F11,0))</f>
        <v>Money Market</v>
      </c>
    </row>
    <row r="12" spans="1:11">
      <c r="A12" s="42">
        <f t="shared" si="0"/>
        <v>2</v>
      </c>
      <c r="B12" s="36">
        <f t="shared" si="1"/>
        <v>1.1792832000000002</v>
      </c>
      <c r="C12" s="34">
        <f t="shared" si="2"/>
        <v>9434265.6000000015</v>
      </c>
      <c r="D12" s="34">
        <f t="shared" si="3"/>
        <v>9353680</v>
      </c>
      <c r="E12" s="34">
        <f t="shared" si="4"/>
        <v>9353695.751290191</v>
      </c>
      <c r="F12" s="34">
        <f t="shared" si="5"/>
        <v>9284381.8000000007</v>
      </c>
      <c r="G12" s="34">
        <f t="shared" si="6"/>
        <v>-80585.60000000149</v>
      </c>
      <c r="H12" s="34">
        <f t="shared" si="7"/>
        <v>-80569.848709810525</v>
      </c>
      <c r="I12" s="34">
        <f t="shared" si="8"/>
        <v>-149883.80000000075</v>
      </c>
      <c r="J12" s="43" t="str">
        <f>INDEX({"No Hedge","Forward","Money Market","Option (Put)"},MATCH(MAX(C12:F12),C12:F12,0))</f>
        <v>No Hedge</v>
      </c>
      <c r="K12" s="43" t="str">
        <f>INDEX({"Forward","Money Market","Option (Put)"},MATCH(MAX(D12:F12),D12:F12,0))</f>
        <v>Money Market</v>
      </c>
    </row>
    <row r="13" spans="1:11">
      <c r="A13" s="42">
        <f t="shared" si="0"/>
        <v>3</v>
      </c>
      <c r="B13" s="36">
        <f t="shared" si="1"/>
        <v>1.1908448</v>
      </c>
      <c r="C13" s="34">
        <f t="shared" si="2"/>
        <v>9526758.4000000004</v>
      </c>
      <c r="D13" s="34">
        <f t="shared" si="3"/>
        <v>9353680</v>
      </c>
      <c r="E13" s="34">
        <f t="shared" si="4"/>
        <v>9353695.751290191</v>
      </c>
      <c r="F13" s="34">
        <f t="shared" si="5"/>
        <v>9376874.5999999996</v>
      </c>
      <c r="G13" s="34">
        <f t="shared" si="6"/>
        <v>-173078.40000000037</v>
      </c>
      <c r="H13" s="34">
        <f t="shared" si="7"/>
        <v>-173062.64870980941</v>
      </c>
      <c r="I13" s="34">
        <f t="shared" si="8"/>
        <v>-149883.80000000075</v>
      </c>
      <c r="J13" s="43" t="str">
        <f>INDEX({"No Hedge","Forward","Money Market","Option (Put)"},MATCH(MAX(C13:F13),C13:F13,0))</f>
        <v>No Hedge</v>
      </c>
      <c r="K13" s="43" t="str">
        <f>INDEX({"Forward","Money Market","Option (Put)"},MATCH(MAX(D13:F13),D13:F13,0))</f>
        <v>Option (Put)</v>
      </c>
    </row>
    <row r="14" spans="1:11">
      <c r="A14" s="42">
        <f t="shared" si="0"/>
        <v>4</v>
      </c>
      <c r="B14" s="36">
        <f t="shared" si="1"/>
        <v>1.2024064000000001</v>
      </c>
      <c r="C14" s="34">
        <f t="shared" si="2"/>
        <v>9619251.2000000011</v>
      </c>
      <c r="D14" s="34">
        <f t="shared" si="3"/>
        <v>9353680</v>
      </c>
      <c r="E14" s="34">
        <f t="shared" si="4"/>
        <v>9353695.751290191</v>
      </c>
      <c r="F14" s="34">
        <f t="shared" si="5"/>
        <v>9469367.4000000004</v>
      </c>
      <c r="G14" s="34">
        <f t="shared" si="6"/>
        <v>-265571.20000000112</v>
      </c>
      <c r="H14" s="34">
        <f t="shared" si="7"/>
        <v>-265555.44870981015</v>
      </c>
      <c r="I14" s="34">
        <f t="shared" si="8"/>
        <v>-149883.80000000075</v>
      </c>
      <c r="J14" s="43" t="str">
        <f>INDEX({"No Hedge","Forward","Money Market","Option (Put)"},MATCH(MAX(C14:F14),C14:F14,0))</f>
        <v>No Hedge</v>
      </c>
      <c r="K14" s="43" t="str">
        <f>INDEX({"Forward","Money Market","Option (Put)"},MATCH(MAX(D14:F14),D14:F14,0))</f>
        <v>Option (Put)</v>
      </c>
    </row>
    <row r="15" spans="1:11">
      <c r="A15" s="42">
        <f t="shared" si="0"/>
        <v>5</v>
      </c>
      <c r="B15" s="36">
        <f t="shared" si="1"/>
        <v>1.2139680000000002</v>
      </c>
      <c r="C15" s="34">
        <f t="shared" si="2"/>
        <v>9711744.0000000019</v>
      </c>
      <c r="D15" s="34">
        <f t="shared" si="3"/>
        <v>9353680</v>
      </c>
      <c r="E15" s="34">
        <f t="shared" si="4"/>
        <v>9353695.751290191</v>
      </c>
      <c r="F15" s="34">
        <f t="shared" si="5"/>
        <v>9561860.2000000011</v>
      </c>
      <c r="G15" s="34">
        <f t="shared" si="6"/>
        <v>-358064.00000000186</v>
      </c>
      <c r="H15" s="34">
        <f t="shared" si="7"/>
        <v>-358048.2487098109</v>
      </c>
      <c r="I15" s="34">
        <f t="shared" si="8"/>
        <v>-149883.80000000075</v>
      </c>
      <c r="J15" s="43" t="str">
        <f>INDEX({"No Hedge","Forward","Money Market","Option (Put)"},MATCH(MAX(C15:F15),C15:F15,0))</f>
        <v>No Hedge</v>
      </c>
      <c r="K15" s="43" t="str">
        <f>INDEX({"Forward","Money Market","Option (Put)"},MATCH(MAX(D15:F15),D15:F15,0))</f>
        <v>Option (Put)</v>
      </c>
    </row>
    <row r="17" spans="1:6" ht="16">
      <c r="A17" s="7" t="s">
        <v>188</v>
      </c>
      <c r="B17" s="7"/>
      <c r="C17" s="7"/>
      <c r="D17" s="7"/>
      <c r="E17" s="7"/>
      <c r="F17" s="7"/>
    </row>
    <row r="18" spans="1:6">
      <c r="A18" s="12" t="s">
        <v>189</v>
      </c>
      <c r="B18" s="37">
        <f>MIN(F5:F15)</f>
        <v>9099396.1999999993</v>
      </c>
    </row>
    <row r="19" spans="1:6">
      <c r="A19" s="16" t="s">
        <v>190</v>
      </c>
      <c r="B19" s="37">
        <f>C10</f>
        <v>9249280</v>
      </c>
    </row>
    <row r="20" spans="1:6">
      <c r="A20" s="16" t="s">
        <v>191</v>
      </c>
      <c r="B20" s="37">
        <f>D10</f>
        <v>9353680</v>
      </c>
    </row>
    <row r="21" spans="1:6">
      <c r="A21" s="16" t="s">
        <v>192</v>
      </c>
      <c r="B21" s="37">
        <f>E10</f>
        <v>9353695.751290191</v>
      </c>
    </row>
    <row r="22" spans="1:6">
      <c r="A22" s="16" t="s">
        <v>193</v>
      </c>
      <c r="B22" s="37">
        <f>F10</f>
        <v>9099396.1999999993</v>
      </c>
    </row>
    <row r="24" spans="1:6" ht="16">
      <c r="A24" s="7" t="s">
        <v>194</v>
      </c>
      <c r="B24" s="7"/>
      <c r="C24" s="7"/>
      <c r="D24" s="7"/>
      <c r="E24" s="7"/>
      <c r="F24" s="7"/>
    </row>
    <row r="25" spans="1:6">
      <c r="A25" s="16" t="s">
        <v>195</v>
      </c>
      <c r="B25" s="22" t="b">
        <f>AND(ROUND(B5-S0_in*0.95,6)=0,ROUND(B15-S0_in*1.05,6)=0)</f>
        <v>1</v>
      </c>
    </row>
    <row r="26" spans="1:6">
      <c r="A26" s="16" t="s">
        <v>153</v>
      </c>
      <c r="B26" s="40" t="str">
        <f>IF(B25,"PASS","FAIL")</f>
        <v>PASS</v>
      </c>
    </row>
  </sheetData>
  <mergeCells count="4">
    <mergeCell ref="A1:F1"/>
    <mergeCell ref="A2:F2"/>
    <mergeCell ref="A17:F17"/>
    <mergeCell ref="A24:F2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5"/>
  <sheetViews>
    <sheetView showGridLines="0" zoomScaleNormal="100" workbookViewId="0">
      <selection sqref="A1:F1"/>
    </sheetView>
  </sheetViews>
  <sheetFormatPr baseColWidth="10" defaultColWidth="8.6640625" defaultRowHeight="15"/>
  <cols>
    <col min="1" max="2" width="46" customWidth="1"/>
    <col min="3" max="4" width="4" customWidth="1"/>
  </cols>
  <sheetData>
    <row r="1" spans="1:6" ht="25.5" customHeight="1">
      <c r="A1" s="9" t="s">
        <v>196</v>
      </c>
      <c r="B1" s="9"/>
      <c r="C1" s="9"/>
      <c r="D1" s="9"/>
      <c r="E1" s="9"/>
      <c r="F1" s="9"/>
    </row>
    <row r="2" spans="1:6">
      <c r="A2" s="8" t="s">
        <v>197</v>
      </c>
      <c r="B2" s="8"/>
      <c r="C2" s="8"/>
      <c r="D2" s="8"/>
      <c r="E2" s="8"/>
      <c r="F2" s="8"/>
    </row>
    <row r="4" spans="1:6" ht="16">
      <c r="A4" s="7" t="s">
        <v>198</v>
      </c>
      <c r="B4" s="7"/>
    </row>
    <row r="5" spans="1:6" ht="27.75" customHeight="1">
      <c r="A5" s="1" t="s">
        <v>199</v>
      </c>
      <c r="B5" s="1"/>
    </row>
    <row r="6" spans="1:6" ht="27.75" customHeight="1">
      <c r="A6" s="1" t="s">
        <v>200</v>
      </c>
      <c r="B6" s="1"/>
    </row>
    <row r="7" spans="1:6" ht="27.75" customHeight="1">
      <c r="A7" s="1" t="s">
        <v>201</v>
      </c>
      <c r="B7" s="1"/>
    </row>
    <row r="8" spans="1:6" ht="27.75" customHeight="1">
      <c r="A8" s="1" t="s">
        <v>202</v>
      </c>
      <c r="B8" s="1"/>
    </row>
    <row r="9" spans="1:6" ht="27.75" customHeight="1">
      <c r="A9" s="1" t="s">
        <v>203</v>
      </c>
      <c r="B9" s="1"/>
    </row>
    <row r="10" spans="1:6" ht="27.75" customHeight="1">
      <c r="A10" s="1" t="s">
        <v>204</v>
      </c>
      <c r="B10" s="1"/>
    </row>
    <row r="11" spans="1:6" ht="27.75" customHeight="1">
      <c r="A11" s="1" t="s">
        <v>205</v>
      </c>
      <c r="B11" s="1"/>
    </row>
    <row r="12" spans="1:6" ht="27.75" customHeight="1">
      <c r="A12" s="1" t="s">
        <v>206</v>
      </c>
      <c r="B12" s="1"/>
    </row>
    <row r="13" spans="1:6" ht="27.75" customHeight="1">
      <c r="A13" s="1" t="s">
        <v>207</v>
      </c>
      <c r="B13" s="1"/>
    </row>
    <row r="14" spans="1:6" ht="27.75" customHeight="1">
      <c r="A14" s="1" t="s">
        <v>208</v>
      </c>
      <c r="B14" s="1"/>
    </row>
    <row r="16" spans="1:6" ht="16">
      <c r="A16" s="7" t="s">
        <v>209</v>
      </c>
      <c r="B16" s="7"/>
    </row>
    <row r="17" spans="1:2">
      <c r="A17" s="17" t="s">
        <v>210</v>
      </c>
      <c r="B17" s="17" t="s">
        <v>153</v>
      </c>
    </row>
    <row r="18" spans="1:2">
      <c r="A18" s="16" t="s">
        <v>211</v>
      </c>
      <c r="B18" s="40" t="str">
        <f>'Money Market Hedge'!B17</f>
        <v>PASS</v>
      </c>
    </row>
    <row r="19" spans="1:2">
      <c r="A19" s="16" t="s">
        <v>212</v>
      </c>
      <c r="B19" s="22" t="b">
        <f>ROUND((MAX(K_PUT,K_PUT)*FC_AMT+FV_PREM_PUT)-(K_PUT*FC_AMT+FV_PREM_PUT),6)=0</f>
        <v>1</v>
      </c>
    </row>
    <row r="20" spans="1:2">
      <c r="A20" s="16" t="s">
        <v>153</v>
      </c>
      <c r="B20" s="40" t="str">
        <f>IF(B19,"PASS","FAIL")</f>
        <v>PASS</v>
      </c>
    </row>
    <row r="21" spans="1:2">
      <c r="A21" s="16" t="s">
        <v>213</v>
      </c>
      <c r="B21" s="40" t="str">
        <f>Sensitivity!B26</f>
        <v>PASS</v>
      </c>
    </row>
    <row r="23" spans="1:2" ht="16">
      <c r="A23" s="7" t="s">
        <v>214</v>
      </c>
      <c r="B23" s="7"/>
    </row>
    <row r="24" spans="1:2" ht="25.5" customHeight="1">
      <c r="A24" s="1" t="s">
        <v>215</v>
      </c>
      <c r="B24" s="1"/>
    </row>
    <row r="25" spans="1:2" ht="25.5" customHeight="1">
      <c r="A25" s="1" t="s">
        <v>216</v>
      </c>
      <c r="B25" s="1"/>
    </row>
    <row r="26" spans="1:2" ht="25.5" customHeight="1">
      <c r="A26" s="1" t="s">
        <v>217</v>
      </c>
      <c r="B26" s="1"/>
    </row>
    <row r="27" spans="1:2" ht="25.5" customHeight="1">
      <c r="A27" s="1" t="s">
        <v>218</v>
      </c>
      <c r="B27" s="1"/>
    </row>
    <row r="28" spans="1:2" ht="25.5" customHeight="1">
      <c r="A28" s="1" t="s">
        <v>219</v>
      </c>
      <c r="B28" s="1"/>
    </row>
    <row r="29" spans="1:2" ht="25.5" customHeight="1">
      <c r="A29" s="1" t="s">
        <v>220</v>
      </c>
      <c r="B29" s="1"/>
    </row>
    <row r="30" spans="1:2" ht="25.5" customHeight="1">
      <c r="A30" s="1" t="s">
        <v>221</v>
      </c>
      <c r="B30" s="1"/>
    </row>
    <row r="32" spans="1:2" ht="16">
      <c r="A32" s="7" t="s">
        <v>222</v>
      </c>
      <c r="B32" s="7"/>
    </row>
    <row r="33" spans="1:4">
      <c r="A33" s="17" t="s">
        <v>16</v>
      </c>
      <c r="B33" s="17" t="s">
        <v>223</v>
      </c>
      <c r="C33" s="17" t="s">
        <v>224</v>
      </c>
      <c r="D33" s="17" t="s">
        <v>225</v>
      </c>
    </row>
    <row r="34" spans="1:4">
      <c r="A34" t="s">
        <v>226</v>
      </c>
      <c r="B34" t="s">
        <v>14</v>
      </c>
      <c r="C34" t="s">
        <v>7</v>
      </c>
      <c r="D34" t="s">
        <v>227</v>
      </c>
    </row>
    <row r="35" spans="1:4">
      <c r="A35" s="16" t="s">
        <v>228</v>
      </c>
      <c r="B35" s="16" t="s">
        <v>229</v>
      </c>
      <c r="C35" s="16" t="s">
        <v>7</v>
      </c>
      <c r="D35" s="16" t="s">
        <v>230</v>
      </c>
    </row>
  </sheetData>
  <mergeCells count="23">
    <mergeCell ref="A29:B29"/>
    <mergeCell ref="A30:B30"/>
    <mergeCell ref="A32:B32"/>
    <mergeCell ref="A24:B24"/>
    <mergeCell ref="A25:B25"/>
    <mergeCell ref="A26:B26"/>
    <mergeCell ref="A27:B27"/>
    <mergeCell ref="A28:B28"/>
    <mergeCell ref="A12:B12"/>
    <mergeCell ref="A13:B13"/>
    <mergeCell ref="A14:B14"/>
    <mergeCell ref="A16:B16"/>
    <mergeCell ref="A23:B23"/>
    <mergeCell ref="A7:B7"/>
    <mergeCell ref="A8:B8"/>
    <mergeCell ref="A9:B9"/>
    <mergeCell ref="A10:B10"/>
    <mergeCell ref="A11:B11"/>
    <mergeCell ref="A1:F1"/>
    <mergeCell ref="A2:F2"/>
    <mergeCell ref="A4:B4"/>
    <mergeCell ref="A5:B5"/>
    <mergeCell ref="A6:B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19</vt:i4>
      </vt:variant>
    </vt:vector>
  </HeadingPairs>
  <TitlesOfParts>
    <vt:vector size="27" baseType="lpstr">
      <vt:lpstr>Cover</vt:lpstr>
      <vt:lpstr>Legend-Key</vt:lpstr>
      <vt:lpstr>Inputs</vt:lpstr>
      <vt:lpstr>Forward Hedge</vt:lpstr>
      <vt:lpstr>Money Market Hedge</vt:lpstr>
      <vt:lpstr>Option Hedge</vt:lpstr>
      <vt:lpstr>Sensitivity</vt:lpstr>
      <vt:lpstr>Notes-Assumptions</vt:lpstr>
      <vt:lpstr>BASIS</vt:lpstr>
      <vt:lpstr>DF_FC</vt:lpstr>
      <vt:lpstr>DF_USD</vt:lpstr>
      <vt:lpstr>F0_in</vt:lpstr>
      <vt:lpstr>FC_AMT</vt:lpstr>
      <vt:lpstr>FV_PREM_CALL</vt:lpstr>
      <vt:lpstr>FV_PREM_PUT</vt:lpstr>
      <vt:lpstr>K_CALL</vt:lpstr>
      <vt:lpstr>K_PUT</vt:lpstr>
      <vt:lpstr>PREM_CALL</vt:lpstr>
      <vt:lpstr>PREM_PUT</vt:lpstr>
      <vt:lpstr>R_FC</vt:lpstr>
      <vt:lpstr>R_USD</vt:lpstr>
      <vt:lpstr>S0_in</vt:lpstr>
      <vt:lpstr>STEP_FRAC</vt:lpstr>
      <vt:lpstr>T_DAYS</vt:lpstr>
      <vt:lpstr>USD_FLOOR_PUT</vt:lpstr>
      <vt:lpstr>USD_FWD</vt:lpstr>
      <vt:lpstr>USD_MM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Clarence Gallano</cp:lastModifiedBy>
  <cp:revision>1</cp:revision>
  <dcterms:created xsi:type="dcterms:W3CDTF">2026-08-06T21:26:39Z</dcterms:created>
  <dcterms:modified xsi:type="dcterms:W3CDTF">2026-08-07T21:41:53Z</dcterms:modified>
  <dc:language>en-US</dc:language>
</cp:coreProperties>
</file>